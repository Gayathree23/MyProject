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8fc8ab6ceb6a3/Documents/"/>
    </mc:Choice>
  </mc:AlternateContent>
  <xr:revisionPtr revIDLastSave="187" documentId="8_{43863631-F2D4-4D44-9BA4-C81C3D1A5895}" xr6:coauthVersionLast="47" xr6:coauthVersionMax="47" xr10:uidLastSave="{162CDDE4-3A85-4379-998D-660E7BB6685C}"/>
  <bookViews>
    <workbookView xWindow="-108" yWindow="-108" windowWidth="23256" windowHeight="12456" xr2:uid="{EC5EF138-A9BF-48C9-8C5A-0A731F41BDBB}"/>
  </bookViews>
  <sheets>
    <sheet name="Sheet1" sheetId="1" r:id="rId1"/>
    <sheet name="Sheet2" sheetId="6" r:id="rId2"/>
    <sheet name="Sheet5" sheetId="5" r:id="rId3"/>
  </sheets>
  <definedNames>
    <definedName name="_xlnm._FilterDatabase" localSheetId="0" hidden="1">Sheet1!$A$1:$AP$199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" i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" i="5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" i="1"/>
</calcChain>
</file>

<file path=xl/sharedStrings.xml><?xml version="1.0" encoding="utf-8"?>
<sst xmlns="http://schemas.openxmlformats.org/spreadsheetml/2006/main" count="3525" uniqueCount="912">
  <si>
    <t>ALTERNATIVE_MOTIVE_POWER</t>
  </si>
  <si>
    <t>BASIC_COLOUR</t>
  </si>
  <si>
    <t>BODY_TYPE</t>
  </si>
  <si>
    <t>CC_RATING</t>
  </si>
  <si>
    <t>CHASSIS7</t>
  </si>
  <si>
    <t>CLASS</t>
  </si>
  <si>
    <t>ENGINE_NUMBER</t>
  </si>
  <si>
    <t>FIRST_NZ_REGISTRATION_YEAR</t>
  </si>
  <si>
    <t>FIRST_NZ_REGISTRATION_MONTH</t>
  </si>
  <si>
    <t>GROSS_VEHICLE_MASS</t>
  </si>
  <si>
    <t>HEIGHT</t>
  </si>
  <si>
    <t>IMPORT_STATUS</t>
  </si>
  <si>
    <t>INDUSTRY_CLASS</t>
  </si>
  <si>
    <t>INDUSTRY_MODEL_CODE</t>
  </si>
  <si>
    <t>MAKE</t>
  </si>
  <si>
    <t>MODEL</t>
  </si>
  <si>
    <t>MOTIVE_POWER</t>
  </si>
  <si>
    <t>MVMA_MODEL_CODE</t>
  </si>
  <si>
    <t>NUMBER_OF_AXLES</t>
  </si>
  <si>
    <t>NUMBER_OF_SEATS</t>
  </si>
  <si>
    <t>NZ_ASSEMBLED</t>
  </si>
  <si>
    <t>ORIGINAL_COUNTRY</t>
  </si>
  <si>
    <t>POWER_RATING</t>
  </si>
  <si>
    <t>PREVIOUS_COUNTRY</t>
  </si>
  <si>
    <t>ROAD_TRANSPORT_CODE</t>
  </si>
  <si>
    <t>SUBMODEL</t>
  </si>
  <si>
    <t>TLA</t>
  </si>
  <si>
    <t>POSTCODE</t>
  </si>
  <si>
    <t>TRANSMISSION_TYPE</t>
  </si>
  <si>
    <t>VDAM_WEIGHT</t>
  </si>
  <si>
    <t>VEHICLE_TYPE</t>
  </si>
  <si>
    <t>VEHICLE_USAGE</t>
  </si>
  <si>
    <t>VEHICLE_YEAR</t>
  </si>
  <si>
    <t>VIN11</t>
  </si>
  <si>
    <t>RED</t>
  </si>
  <si>
    <t>CONVERTIBLE</t>
  </si>
  <si>
    <t>160K558</t>
  </si>
  <si>
    <t>MA</t>
  </si>
  <si>
    <t>COVERED</t>
  </si>
  <si>
    <t>USED</t>
  </si>
  <si>
    <t>PRIVATE</t>
  </si>
  <si>
    <t>PONTIAC</t>
  </si>
  <si>
    <t>CATALINA</t>
  </si>
  <si>
    <t>PETROL</t>
  </si>
  <si>
    <t>IMPORTED BUILT-UP</t>
  </si>
  <si>
    <t>UNITED STATES</t>
  </si>
  <si>
    <t>CHRISTCHURCH CITY</t>
  </si>
  <si>
    <t>PASSENGER CAR/VAN</t>
  </si>
  <si>
    <t>PRIVATE PASSENGER</t>
  </si>
  <si>
    <t>7A8EF0F0701</t>
  </si>
  <si>
    <t>GREEN</t>
  </si>
  <si>
    <t>STATION WAGON</t>
  </si>
  <si>
    <t>MC</t>
  </si>
  <si>
    <t>95100814A</t>
  </si>
  <si>
    <t>LANDROVER</t>
  </si>
  <si>
    <t>UNKNOWN</t>
  </si>
  <si>
    <t>NOT KNOWN</t>
  </si>
  <si>
    <t>HALF TON</t>
  </si>
  <si>
    <t>WHANGAREI DISTRICT</t>
  </si>
  <si>
    <t>7AT0AK1BX25</t>
  </si>
  <si>
    <t>WHITE</t>
  </si>
  <si>
    <t>OTHER TRUCK</t>
  </si>
  <si>
    <t>NKR58E-</t>
  </si>
  <si>
    <t>NB</t>
  </si>
  <si>
    <t>OBSECURED</t>
  </si>
  <si>
    <t>U-NKR58E</t>
  </si>
  <si>
    <t>ISUZU</t>
  </si>
  <si>
    <t>ELF</t>
  </si>
  <si>
    <t>DIESEL</t>
  </si>
  <si>
    <t>JAPAN</t>
  </si>
  <si>
    <t>WHANGANUI DISTRICT</t>
  </si>
  <si>
    <t>GOODS VAN/TRUCK/UTILITY</t>
  </si>
  <si>
    <t>7A897160800</t>
  </si>
  <si>
    <t>YELLOW</t>
  </si>
  <si>
    <t>9F92M52</t>
  </si>
  <si>
    <t>MERCURY</t>
  </si>
  <si>
    <t>COUGAR</t>
  </si>
  <si>
    <t>WHAKATANE DISTRICT</t>
  </si>
  <si>
    <t>7AT0C701X24</t>
  </si>
  <si>
    <t>XZU306-</t>
  </si>
  <si>
    <t>S05D-A13888</t>
  </si>
  <si>
    <t>WHOLESALE/RETAIL/TRADE</t>
  </si>
  <si>
    <t>KK-XZU306</t>
  </si>
  <si>
    <t>TOYOTA</t>
  </si>
  <si>
    <t>DYNA</t>
  </si>
  <si>
    <t>XZU306</t>
  </si>
  <si>
    <t>OTHER GOODS</t>
  </si>
  <si>
    <t>7A8H60E0808</t>
  </si>
  <si>
    <t>PINK</t>
  </si>
  <si>
    <t>MOTORCYCLE</t>
  </si>
  <si>
    <t>LC</t>
  </si>
  <si>
    <t>1P52QMI85K06015</t>
  </si>
  <si>
    <t>LIFAN</t>
  </si>
  <si>
    <t>LF125</t>
  </si>
  <si>
    <t>CHINA</t>
  </si>
  <si>
    <t>UNITED KINGDOM</t>
  </si>
  <si>
    <t>T-9A</t>
  </si>
  <si>
    <t>CENTRAL OTAGO DISTRICT</t>
  </si>
  <si>
    <t>LF3TCJ9A98B</t>
  </si>
  <si>
    <t>SALOON</t>
  </si>
  <si>
    <t>TPA8309</t>
  </si>
  <si>
    <t>FJ135X</t>
  </si>
  <si>
    <t>FORD</t>
  </si>
  <si>
    <t>FAIRMONT</t>
  </si>
  <si>
    <t>AUSTRALIA</t>
  </si>
  <si>
    <t>SOUTH AFRICA</t>
  </si>
  <si>
    <t>GT</t>
  </si>
  <si>
    <t>INVERCARGILL CITY</t>
  </si>
  <si>
    <t>7AT06G10X21</t>
  </si>
  <si>
    <t>ORANGE</t>
  </si>
  <si>
    <t>0F02G17</t>
  </si>
  <si>
    <t>MUSTANG</t>
  </si>
  <si>
    <t>BOSS 302</t>
  </si>
  <si>
    <t>PORIRUA CITY</t>
  </si>
  <si>
    <t>7AT06G0FX24</t>
  </si>
  <si>
    <t>BLACK</t>
  </si>
  <si>
    <t>C9RF164</t>
  </si>
  <si>
    <t>NA</t>
  </si>
  <si>
    <t>RANCHERO</t>
  </si>
  <si>
    <t>351 CLEVELAND</t>
  </si>
  <si>
    <t>LOWER HUTT CITY</t>
  </si>
  <si>
    <t>7AT06G2XX25</t>
  </si>
  <si>
    <t>SILVER</t>
  </si>
  <si>
    <t>BHZ6217</t>
  </si>
  <si>
    <t>HOLDEN</t>
  </si>
  <si>
    <t>STATESMAN</t>
  </si>
  <si>
    <t>ROTORUA DISTRICT</t>
  </si>
  <si>
    <t>7AT08904X25</t>
  </si>
  <si>
    <t>4D34-K2322</t>
  </si>
  <si>
    <t>NEW</t>
  </si>
  <si>
    <t>MITSUBISHI</t>
  </si>
  <si>
    <t>CANTER</t>
  </si>
  <si>
    <t>FE122W5</t>
  </si>
  <si>
    <t>DUNEDIN CITY</t>
  </si>
  <si>
    <t>5-GEAR MANUAL</t>
  </si>
  <si>
    <t>JLAFE649E0K</t>
  </si>
  <si>
    <t>FA78034</t>
  </si>
  <si>
    <t>DA10-9328</t>
  </si>
  <si>
    <t>BSA</t>
  </si>
  <si>
    <t>A7</t>
  </si>
  <si>
    <t>7AT01W08X25</t>
  </si>
  <si>
    <t>CREAM</t>
  </si>
  <si>
    <t>SPORTS CAR</t>
  </si>
  <si>
    <t>AN5/227</t>
  </si>
  <si>
    <t>9C-U-H1836</t>
  </si>
  <si>
    <t>AUSTIN</t>
  </si>
  <si>
    <t>SPRITE</t>
  </si>
  <si>
    <t>AUCKLAND</t>
  </si>
  <si>
    <t>7AT00T1WX25</t>
  </si>
  <si>
    <t>OTHER COMMERCIAL TRAILER</t>
  </si>
  <si>
    <t>TD</t>
  </si>
  <si>
    <t>COMMERCIAL ROAD TRANSPORT</t>
  </si>
  <si>
    <t>BT4850</t>
  </si>
  <si>
    <t>TRAILER</t>
  </si>
  <si>
    <t>4 AXLE</t>
  </si>
  <si>
    <t>NZ ASSEMBLED/BUILT</t>
  </si>
  <si>
    <t>NEW ZEALAND</t>
  </si>
  <si>
    <t>BULK CARTAGE - SOLIDS</t>
  </si>
  <si>
    <t>DME</t>
  </si>
  <si>
    <t>SOUTHLAND DISTRICT</t>
  </si>
  <si>
    <t>TRAILER/CARAVAN</t>
  </si>
  <si>
    <t>TRANSPORT LICENSED GOODS</t>
  </si>
  <si>
    <t>7A8H9000204</t>
  </si>
  <si>
    <t>PATCHELL</t>
  </si>
  <si>
    <t>4CV</t>
  </si>
  <si>
    <t>LOG HAULAGE</t>
  </si>
  <si>
    <t>NAPIER CITY</t>
  </si>
  <si>
    <t>7A8KJ030206</t>
  </si>
  <si>
    <t>YS2RM8X</t>
  </si>
  <si>
    <t>NC</t>
  </si>
  <si>
    <t>BUSINESS/FINANCIAL</t>
  </si>
  <si>
    <t>SCANIA</t>
  </si>
  <si>
    <t>R143</t>
  </si>
  <si>
    <t>SWEDEN</t>
  </si>
  <si>
    <t>OTHER</t>
  </si>
  <si>
    <t>YS2RM8X4Z01</t>
  </si>
  <si>
    <t>SELF PROPELLED CARAVAN</t>
  </si>
  <si>
    <t>BE434F-</t>
  </si>
  <si>
    <t>4M40</t>
  </si>
  <si>
    <t>P-BE434F</t>
  </si>
  <si>
    <t>ROSA</t>
  </si>
  <si>
    <t>NELSON CITY</t>
  </si>
  <si>
    <t>MOTOR CARAVAN</t>
  </si>
  <si>
    <t>7A8CJ060998</t>
  </si>
  <si>
    <t>BLUE</t>
  </si>
  <si>
    <t>RM23V0A</t>
  </si>
  <si>
    <t>440-GA170180</t>
  </si>
  <si>
    <t>PLYMOUTH</t>
  </si>
  <si>
    <t>ROAD RUNNER</t>
  </si>
  <si>
    <t>SUPERBIRD</t>
  </si>
  <si>
    <t>UPPER HUTT CITY</t>
  </si>
  <si>
    <t>7AT0ED03X24</t>
  </si>
  <si>
    <t>NORTON</t>
  </si>
  <si>
    <t>COMMANDO</t>
  </si>
  <si>
    <t>7A8DK001196</t>
  </si>
  <si>
    <t>HDB31-0</t>
  </si>
  <si>
    <t>1HDT-0002509</t>
  </si>
  <si>
    <t>COASTER</t>
  </si>
  <si>
    <t>7A8H60D1098</t>
  </si>
  <si>
    <t>DOMETT</t>
  </si>
  <si>
    <t>D1001</t>
  </si>
  <si>
    <t>BULK CARTAGE - LIQUIDS</t>
  </si>
  <si>
    <t>MATAMATA-PIAKO DISTRICT</t>
  </si>
  <si>
    <t>7A9D1001X20</t>
  </si>
  <si>
    <t>JH2ME08</t>
  </si>
  <si>
    <t>ME08E-2308472</t>
  </si>
  <si>
    <t>HONDA</t>
  </si>
  <si>
    <t>XR</t>
  </si>
  <si>
    <t>HONXR250RA</t>
  </si>
  <si>
    <t>GISBORNE DISTRICT</t>
  </si>
  <si>
    <t>JH2ME0807YK</t>
  </si>
  <si>
    <t>TRX75KH</t>
  </si>
  <si>
    <t>V75V-KH00119</t>
  </si>
  <si>
    <t>TRIUMPH</t>
  </si>
  <si>
    <t>HURRICANE</t>
  </si>
  <si>
    <t>HAMILTON CITY</t>
  </si>
  <si>
    <t>7AT0HF1NX23</t>
  </si>
  <si>
    <t>WDB9302</t>
  </si>
  <si>
    <t>AGRICULTURE/FORESTRY/FISHING</t>
  </si>
  <si>
    <t>MERCEDES-BENZ</t>
  </si>
  <si>
    <t>ACTROS</t>
  </si>
  <si>
    <t>GERMANY</t>
  </si>
  <si>
    <t>GENERAL GOODS - LOCAL</t>
  </si>
  <si>
    <t>3246L/48MP2</t>
  </si>
  <si>
    <t>WESTERN BAY OF PLENTY DISTRICT</t>
  </si>
  <si>
    <t>16-GEAR MANUAL</t>
  </si>
  <si>
    <t>WDB9302442K</t>
  </si>
  <si>
    <t>KTM</t>
  </si>
  <si>
    <t>EXC</t>
  </si>
  <si>
    <t>AUSTRIA</t>
  </si>
  <si>
    <t>USED UN-REGIST</t>
  </si>
  <si>
    <t>RACING 2007</t>
  </si>
  <si>
    <t>WAITAKI DISTRICT</t>
  </si>
  <si>
    <t>VBKRCA4087M</t>
  </si>
  <si>
    <t>HATCHBACK</t>
  </si>
  <si>
    <t>NONE</t>
  </si>
  <si>
    <t>ALFA ROMEO</t>
  </si>
  <si>
    <t>ITALY</t>
  </si>
  <si>
    <t>CLOVERLEAF</t>
  </si>
  <si>
    <t>TASMAN DISTRICT</t>
  </si>
  <si>
    <t>ZAR905A3005</t>
  </si>
  <si>
    <t>BROWN</t>
  </si>
  <si>
    <t>UTILITY</t>
  </si>
  <si>
    <t>F10GRY6</t>
  </si>
  <si>
    <t>F003H</t>
  </si>
  <si>
    <t>F100</t>
  </si>
  <si>
    <t>NEW PLYMOUTH DISTRICT</t>
  </si>
  <si>
    <t>7AT06G14X24</t>
  </si>
  <si>
    <t>T1221CEH1AC123061</t>
  </si>
  <si>
    <t>CHEVROLET</t>
  </si>
  <si>
    <t>EL CAMINO</t>
  </si>
  <si>
    <t>1GCCW80H7ER</t>
  </si>
  <si>
    <t>4P66X13</t>
  </si>
  <si>
    <t>58L</t>
  </si>
  <si>
    <t>GALAXIE</t>
  </si>
  <si>
    <t>WAIKATO DISTRICT</t>
  </si>
  <si>
    <t>7AT06G0WX24</t>
  </si>
  <si>
    <t>1B7HC16</t>
  </si>
  <si>
    <t>DODGE</t>
  </si>
  <si>
    <t>RAM</t>
  </si>
  <si>
    <t>1B7HC16Z91S</t>
  </si>
  <si>
    <t>GREY</t>
  </si>
  <si>
    <t>F10D4L1</t>
  </si>
  <si>
    <t>BE5-031</t>
  </si>
  <si>
    <t>EJ20-245700</t>
  </si>
  <si>
    <t>GF-BE5</t>
  </si>
  <si>
    <t>SUBARU</t>
  </si>
  <si>
    <t>LEGACY</t>
  </si>
  <si>
    <t>HOROWHENUA DISTRICT</t>
  </si>
  <si>
    <t>7A8GF0B0706</t>
  </si>
  <si>
    <t>H714930</t>
  </si>
  <si>
    <t>CADILLAC</t>
  </si>
  <si>
    <t>ELDORADO</t>
  </si>
  <si>
    <t>7AT02402X24</t>
  </si>
  <si>
    <t>B9LS141</t>
  </si>
  <si>
    <t>FAIRLANE</t>
  </si>
  <si>
    <t>7AT06G11X23</t>
  </si>
  <si>
    <t>GL1-101</t>
  </si>
  <si>
    <t>GL1E-1018969</t>
  </si>
  <si>
    <t>GL</t>
  </si>
  <si>
    <t>1000 GOLDWING</t>
  </si>
  <si>
    <t>WAIMAKARIRI DISTRICT</t>
  </si>
  <si>
    <t>7AT08G09X24</t>
  </si>
  <si>
    <t>FTR32L2</t>
  </si>
  <si>
    <t>6HE1-847762</t>
  </si>
  <si>
    <t>U-FTR32L</t>
  </si>
  <si>
    <t>FORWARD</t>
  </si>
  <si>
    <t>7A897150805</t>
  </si>
  <si>
    <t>CT0006</t>
  </si>
  <si>
    <t>SPLIT TIPPING</t>
  </si>
  <si>
    <t>TIMARU DISTRICT</t>
  </si>
  <si>
    <t>121026-4HK1</t>
  </si>
  <si>
    <t>NPR</t>
  </si>
  <si>
    <t>NP27</t>
  </si>
  <si>
    <t>450SP</t>
  </si>
  <si>
    <t>TAURANGA CITY</t>
  </si>
  <si>
    <t>6-GEAR MANUAL</t>
  </si>
  <si>
    <t>JAANPR75P37</t>
  </si>
  <si>
    <t>N0NE</t>
  </si>
  <si>
    <t>F150</t>
  </si>
  <si>
    <t>PALMERSTON NORTH CITY</t>
  </si>
  <si>
    <t>1FTRW07L32K</t>
  </si>
  <si>
    <t>4FD-011415</t>
  </si>
  <si>
    <t>YAMAHA</t>
  </si>
  <si>
    <t>XT225G</t>
  </si>
  <si>
    <t>XT250R</t>
  </si>
  <si>
    <t>2002 MODEL</t>
  </si>
  <si>
    <t>JYA4FDT003A</t>
  </si>
  <si>
    <t>PURPLE</t>
  </si>
  <si>
    <t>SCCGA11</t>
  </si>
  <si>
    <t>18K4FJ31107089</t>
  </si>
  <si>
    <t>LOTUS</t>
  </si>
  <si>
    <t>ELISE</t>
  </si>
  <si>
    <t>SCCGA1119WH</t>
  </si>
  <si>
    <t>VBB2T-1</t>
  </si>
  <si>
    <t>VESPA</t>
  </si>
  <si>
    <t>SPRINT</t>
  </si>
  <si>
    <t>MARLBOROUGH DISTRICT</t>
  </si>
  <si>
    <t>7A8HW061107</t>
  </si>
  <si>
    <t>124378N</t>
  </si>
  <si>
    <t>L0424XM</t>
  </si>
  <si>
    <t>CAMARO</t>
  </si>
  <si>
    <t>7AT02R07X23</t>
  </si>
  <si>
    <t>PIAGGIO</t>
  </si>
  <si>
    <t>ZAPM0400000</t>
  </si>
  <si>
    <t>SELWYN DISTRICT</t>
  </si>
  <si>
    <t>VBKRCA4097M</t>
  </si>
  <si>
    <t>WBSHD91</t>
  </si>
  <si>
    <t>BMW</t>
  </si>
  <si>
    <t>M5</t>
  </si>
  <si>
    <t>WBSHD91060G</t>
  </si>
  <si>
    <t>SCT2358</t>
  </si>
  <si>
    <t>HOMEBUILT</t>
  </si>
  <si>
    <t>7AT0JX00X23</t>
  </si>
  <si>
    <t>SCRATCH</t>
  </si>
  <si>
    <t>LVV</t>
  </si>
  <si>
    <t>REPLICA</t>
  </si>
  <si>
    <t>AUDI</t>
  </si>
  <si>
    <t>WAUZZZ85ZGA</t>
  </si>
  <si>
    <t>FLAT-DECK TRUCK</t>
  </si>
  <si>
    <t>6BD1433050</t>
  </si>
  <si>
    <t>HAURAKI DISTRICT</t>
  </si>
  <si>
    <t>JALFSR11HG3</t>
  </si>
  <si>
    <t>7A431LN</t>
  </si>
  <si>
    <t>11A52772</t>
  </si>
  <si>
    <t>LNRT</t>
  </si>
  <si>
    <t>VAUXHALL PICKUP</t>
  </si>
  <si>
    <t>7A431LN8508</t>
  </si>
  <si>
    <t>ELECTRICITY/GAS/WATER</t>
  </si>
  <si>
    <t>FVR</t>
  </si>
  <si>
    <t>HASTINGS DISTRICT</t>
  </si>
  <si>
    <t>JALFVR12HK3</t>
  </si>
  <si>
    <t>4D32E65593</t>
  </si>
  <si>
    <t>RE-REG</t>
  </si>
  <si>
    <t>FE112E</t>
  </si>
  <si>
    <t>FE112E 3.0T CKD</t>
  </si>
  <si>
    <t>7A1FE112ETP</t>
  </si>
  <si>
    <t>FRR33K4</t>
  </si>
  <si>
    <t>KCFRR33K4</t>
  </si>
  <si>
    <t>7A897150898</t>
  </si>
  <si>
    <t>K417-111312</t>
  </si>
  <si>
    <t>SUZUKI</t>
  </si>
  <si>
    <t>DR</t>
  </si>
  <si>
    <t>SUZDR-Z400EK2</t>
  </si>
  <si>
    <t>JS1DK433222</t>
  </si>
  <si>
    <t>RE01E5106744</t>
  </si>
  <si>
    <t>HONXR650</t>
  </si>
  <si>
    <t>MASTERTON DISTRICT</t>
  </si>
  <si>
    <t>JH2RE0194YK</t>
  </si>
  <si>
    <t>MC19-10</t>
  </si>
  <si>
    <t>MC14E-1109788</t>
  </si>
  <si>
    <t>CBR</t>
  </si>
  <si>
    <t>6U9000MC191</t>
  </si>
  <si>
    <t>CP76825</t>
  </si>
  <si>
    <t>CP76912HE</t>
  </si>
  <si>
    <t>TR6</t>
  </si>
  <si>
    <t>FAR NORTH DISTRICT</t>
  </si>
  <si>
    <t>7AT0HF0AX23</t>
  </si>
  <si>
    <t>101378W</t>
  </si>
  <si>
    <t>8W103297</t>
  </si>
  <si>
    <t>CORVAIR</t>
  </si>
  <si>
    <t>7AT02R2KX23</t>
  </si>
  <si>
    <t>LC4</t>
  </si>
  <si>
    <t>ADVENTURE</t>
  </si>
  <si>
    <t>VBKGSN4045M</t>
  </si>
  <si>
    <t>RC4P012749</t>
  </si>
  <si>
    <t>DUCATI</t>
  </si>
  <si>
    <t>MONSTER</t>
  </si>
  <si>
    <t>ZDM1RC4N8PB</t>
  </si>
  <si>
    <t>1R1328</t>
  </si>
  <si>
    <t>7R6971</t>
  </si>
  <si>
    <t>JAGUAR</t>
  </si>
  <si>
    <t>E TYPE</t>
  </si>
  <si>
    <t>7AT0990MX23</t>
  </si>
  <si>
    <t>9K46R11</t>
  </si>
  <si>
    <t>FE428C1</t>
  </si>
  <si>
    <t>TORINO</t>
  </si>
  <si>
    <t>COBRA</t>
  </si>
  <si>
    <t>7AT06G3RX23</t>
  </si>
  <si>
    <t>GJ76A-1</t>
  </si>
  <si>
    <t>J707-104650</t>
  </si>
  <si>
    <t>GJ76A</t>
  </si>
  <si>
    <t>GSX250S</t>
  </si>
  <si>
    <t>KATANA</t>
  </si>
  <si>
    <t>7AT0GKAFX21</t>
  </si>
  <si>
    <t>J707-105827</t>
  </si>
  <si>
    <t>AF61-12</t>
  </si>
  <si>
    <t>LA</t>
  </si>
  <si>
    <t>AF61E-1344114</t>
  </si>
  <si>
    <t>NVS</t>
  </si>
  <si>
    <t>TARARUA DISTRICT</t>
  </si>
  <si>
    <t>MOPED</t>
  </si>
  <si>
    <t>7A88GAF1104</t>
  </si>
  <si>
    <t>1Z8789S</t>
  </si>
  <si>
    <t>CORVETTE</t>
  </si>
  <si>
    <t>C3</t>
  </si>
  <si>
    <t>7A82R050706</t>
  </si>
  <si>
    <t>GOLD</t>
  </si>
  <si>
    <t>C28CR-6</t>
  </si>
  <si>
    <t>NOTSTAMPED</t>
  </si>
  <si>
    <t>CHRYSLER</t>
  </si>
  <si>
    <t>ROYAL</t>
  </si>
  <si>
    <t>BUSINESS COUPE</t>
  </si>
  <si>
    <t>7AT02X10X16</t>
  </si>
  <si>
    <t>FD3HJA-</t>
  </si>
  <si>
    <t>HO7DA111802</t>
  </si>
  <si>
    <t>U-FD3HJA</t>
  </si>
  <si>
    <t>HINO</t>
  </si>
  <si>
    <t>RANGER</t>
  </si>
  <si>
    <t>FD3</t>
  </si>
  <si>
    <t>WAITOMO DISTRICT</t>
  </si>
  <si>
    <t>7A884000800</t>
  </si>
  <si>
    <t>124CS20</t>
  </si>
  <si>
    <t>FIAT</t>
  </si>
  <si>
    <t>SPYDER</t>
  </si>
  <si>
    <t>PININ FARINA 2000</t>
  </si>
  <si>
    <t>7A867110701</t>
  </si>
  <si>
    <t>FK617D-</t>
  </si>
  <si>
    <t>6D16-767015</t>
  </si>
  <si>
    <t>U-FK617D</t>
  </si>
  <si>
    <t>FUSO</t>
  </si>
  <si>
    <t>7A8CJ1D0803</t>
  </si>
  <si>
    <t>A603841</t>
  </si>
  <si>
    <t>1M1113</t>
  </si>
  <si>
    <t>MODEL A</t>
  </si>
  <si>
    <t>7AT06G0KX11</t>
  </si>
  <si>
    <t>JD01E-2422680</t>
  </si>
  <si>
    <t>CT</t>
  </si>
  <si>
    <t>HONCT110</t>
  </si>
  <si>
    <t>JH2JD01U1PK</t>
  </si>
  <si>
    <t>PTE3A50</t>
  </si>
  <si>
    <t>PTE SEMI</t>
  </si>
  <si>
    <t>7A8H9000202</t>
  </si>
  <si>
    <t>VC57T25</t>
  </si>
  <si>
    <t>BELAIR</t>
  </si>
  <si>
    <t>7AT02R0GX21</t>
  </si>
  <si>
    <t>UNREADABLE</t>
  </si>
  <si>
    <t>K100RS</t>
  </si>
  <si>
    <t>K100</t>
  </si>
  <si>
    <t>RS</t>
  </si>
  <si>
    <t>7AT01H0AX22</t>
  </si>
  <si>
    <t>11839L1</t>
  </si>
  <si>
    <t>F0702W</t>
  </si>
  <si>
    <t>IMPALA</t>
  </si>
  <si>
    <t>7AT02R1RX13</t>
  </si>
  <si>
    <t>FLAT-DECK TRAILER</t>
  </si>
  <si>
    <t>D3101</t>
  </si>
  <si>
    <t>7A9D3101260</t>
  </si>
  <si>
    <t>124379N</t>
  </si>
  <si>
    <t>SS</t>
  </si>
  <si>
    <t>WAIPA DISTRICT</t>
  </si>
  <si>
    <t>7AT02R07X21</t>
  </si>
  <si>
    <t>E29E3032952</t>
  </si>
  <si>
    <t>LML</t>
  </si>
  <si>
    <t>STAR DELUXE</t>
  </si>
  <si>
    <t>STAR DELUXE 200</t>
  </si>
  <si>
    <t>INDIA</t>
  </si>
  <si>
    <t>MD7M10B14E3</t>
  </si>
  <si>
    <t>J707-109413</t>
  </si>
  <si>
    <t>BE00398</t>
  </si>
  <si>
    <t>ROCKET</t>
  </si>
  <si>
    <t>7AT01W1MX21</t>
  </si>
  <si>
    <t>JD01E2424115</t>
  </si>
  <si>
    <t>12A2EF77-277269</t>
  </si>
  <si>
    <t>E-XN12A</t>
  </si>
  <si>
    <t>ROVER</t>
  </si>
  <si>
    <t>MINI COOPER</t>
  </si>
  <si>
    <t>SAXXNNAYCBD</t>
  </si>
  <si>
    <t>NPR72G-</t>
  </si>
  <si>
    <t>KC-NPR726DR</t>
  </si>
  <si>
    <t>7A897160807</t>
  </si>
  <si>
    <t>5Y87Z14</t>
  </si>
  <si>
    <t>THUNDERBIRD</t>
  </si>
  <si>
    <t>7A86G060706</t>
  </si>
  <si>
    <t>RS2224</t>
  </si>
  <si>
    <t>MB22650G</t>
  </si>
  <si>
    <t>7AT06G11X11</t>
  </si>
  <si>
    <t>J648891</t>
  </si>
  <si>
    <t>RA3339-9</t>
  </si>
  <si>
    <t>7AT0990MX22</t>
  </si>
  <si>
    <t>6F07K26</t>
  </si>
  <si>
    <t>R100289</t>
  </si>
  <si>
    <t>7AT06G0FX23</t>
  </si>
  <si>
    <t>BU212-0</t>
  </si>
  <si>
    <t>15B1543517</t>
  </si>
  <si>
    <t>KC-BC212</t>
  </si>
  <si>
    <t>TOYOACE</t>
  </si>
  <si>
    <t>7A8H6120803</t>
  </si>
  <si>
    <t>JS1VX51</t>
  </si>
  <si>
    <t>X501-149891</t>
  </si>
  <si>
    <t>VS1400GLP</t>
  </si>
  <si>
    <t>SUZVS1400GLPS</t>
  </si>
  <si>
    <t>S</t>
  </si>
  <si>
    <t>JS1VX51LXS2</t>
  </si>
  <si>
    <t>SJ41A11</t>
  </si>
  <si>
    <t>J401-121130</t>
  </si>
  <si>
    <t>7A8GK0G1195</t>
  </si>
  <si>
    <t>JKBVNCA</t>
  </si>
  <si>
    <t>KAWASAKI</t>
  </si>
  <si>
    <t>VN</t>
  </si>
  <si>
    <t>VN800-A1</t>
  </si>
  <si>
    <t>800A</t>
  </si>
  <si>
    <t>JKBVNCA14SA</t>
  </si>
  <si>
    <t>CAMJ120507</t>
  </si>
  <si>
    <t>HARLEY DAVIDSON</t>
  </si>
  <si>
    <t>1HD4CAM13JY</t>
  </si>
  <si>
    <t>DOMETT FRUEHAUF</t>
  </si>
  <si>
    <t>GENERAL GOODS - LINE HAULAGE</t>
  </si>
  <si>
    <t>7AT0H900X22</t>
  </si>
  <si>
    <t>CB400F</t>
  </si>
  <si>
    <t>7AT08G3BX22</t>
  </si>
  <si>
    <t>FK415K-</t>
  </si>
  <si>
    <t>6D14416044</t>
  </si>
  <si>
    <t>P-FK415K</t>
  </si>
  <si>
    <t>7A8CJ1D0894</t>
  </si>
  <si>
    <t>6D16817820</t>
  </si>
  <si>
    <t>FK</t>
  </si>
  <si>
    <t>7A1FK195FSP</t>
  </si>
  <si>
    <t>FK517M-</t>
  </si>
  <si>
    <t>6D160AF3501</t>
  </si>
  <si>
    <t>FK517MU</t>
  </si>
  <si>
    <t>7A8CJ1D0895</t>
  </si>
  <si>
    <t>ME08P-2008952</t>
  </si>
  <si>
    <t>HONXR250R</t>
  </si>
  <si>
    <t>JH2ME0893TM</t>
  </si>
  <si>
    <t>ZDM400R</t>
  </si>
  <si>
    <t>F3</t>
  </si>
  <si>
    <t>7A8571M1199</t>
  </si>
  <si>
    <t>VC57K10</t>
  </si>
  <si>
    <t>VF021350818</t>
  </si>
  <si>
    <t>7A82R0G0702</t>
  </si>
  <si>
    <t>KENWORTH</t>
  </si>
  <si>
    <t>T800B</t>
  </si>
  <si>
    <t>CANADA</t>
  </si>
  <si>
    <t>1NKDL60X4TS</t>
  </si>
  <si>
    <t>CK450UN</t>
  </si>
  <si>
    <t>U-CK450UN</t>
  </si>
  <si>
    <t>NISSAN</t>
  </si>
  <si>
    <t>CK</t>
  </si>
  <si>
    <t>7A8DH410899</t>
  </si>
  <si>
    <t>V3B57S1</t>
  </si>
  <si>
    <t>PICKUP</t>
  </si>
  <si>
    <t>7AT02R0KX20</t>
  </si>
  <si>
    <t>MD30-10</t>
  </si>
  <si>
    <t>25 BAJA</t>
  </si>
  <si>
    <t>7AT08G25X22</t>
  </si>
  <si>
    <t>1Z37T4S</t>
  </si>
  <si>
    <t>STINGRAY</t>
  </si>
  <si>
    <t>7A82R050796</t>
  </si>
  <si>
    <t>FG538B4</t>
  </si>
  <si>
    <t>4D35-F24771</t>
  </si>
  <si>
    <t>KC-FG538B4K</t>
  </si>
  <si>
    <t>7A8CJ0W0800</t>
  </si>
  <si>
    <t>VK2588D</t>
  </si>
  <si>
    <t>VALIANT</t>
  </si>
  <si>
    <t>CHARGER</t>
  </si>
  <si>
    <t>7A82X000799</t>
  </si>
  <si>
    <t>RH1WFB-</t>
  </si>
  <si>
    <t>W04C-</t>
  </si>
  <si>
    <t>U-RH1WFBA</t>
  </si>
  <si>
    <t>RAINBOW</t>
  </si>
  <si>
    <t>7A884110903</t>
  </si>
  <si>
    <t>CCS153804</t>
  </si>
  <si>
    <t>454SS</t>
  </si>
  <si>
    <t>1GCDC14N0LZ</t>
  </si>
  <si>
    <t>SJ45A10</t>
  </si>
  <si>
    <t>J425-100677</t>
  </si>
  <si>
    <t>250 DJEBEL</t>
  </si>
  <si>
    <t>ASHBURTON DISTRICT</t>
  </si>
  <si>
    <t>7A8GK0G1104</t>
  </si>
  <si>
    <t>LA23W13</t>
  </si>
  <si>
    <t>B42100</t>
  </si>
  <si>
    <t>MAZDA</t>
  </si>
  <si>
    <t>RX4</t>
  </si>
  <si>
    <t>7AT0C105X22</t>
  </si>
  <si>
    <t>JH2NE03</t>
  </si>
  <si>
    <t>ME03L-2406434</t>
  </si>
  <si>
    <t>HONXR400</t>
  </si>
  <si>
    <t>JH2NE03UXYK</t>
  </si>
  <si>
    <t>BNR32-2</t>
  </si>
  <si>
    <t>RB26DETT-COVERED</t>
  </si>
  <si>
    <t>E-BNR32</t>
  </si>
  <si>
    <t>SKYLINE</t>
  </si>
  <si>
    <t>GTR</t>
  </si>
  <si>
    <t>7AT0DH12X22</t>
  </si>
  <si>
    <t>1Z87L85</t>
  </si>
  <si>
    <t>V09170LM</t>
  </si>
  <si>
    <t>7A82R050700</t>
  </si>
  <si>
    <t>UA31-L0</t>
  </si>
  <si>
    <t>PE6H-COVERED</t>
  </si>
  <si>
    <t>K-UA31L</t>
  </si>
  <si>
    <t>7A8DH4M1002</t>
  </si>
  <si>
    <t>4KG-021</t>
  </si>
  <si>
    <t>4CC</t>
  </si>
  <si>
    <t>XJR</t>
  </si>
  <si>
    <t>7AT0JH98X22</t>
  </si>
  <si>
    <t>104EA46862173</t>
  </si>
  <si>
    <t>WG3AT-1</t>
  </si>
  <si>
    <t>DE04508</t>
  </si>
  <si>
    <t>CONSTRUCTING</t>
  </si>
  <si>
    <t>TITAN</t>
  </si>
  <si>
    <t>7A8C1000802</t>
  </si>
  <si>
    <t>JO8C-F22178</t>
  </si>
  <si>
    <t>FE</t>
  </si>
  <si>
    <t>1J</t>
  </si>
  <si>
    <t>JHDFE1JPKXX</t>
  </si>
  <si>
    <t>MD30-18</t>
  </si>
  <si>
    <t>MD17E4240667</t>
  </si>
  <si>
    <t>XR250</t>
  </si>
  <si>
    <t>L</t>
  </si>
  <si>
    <t>7A88G2X1105</t>
  </si>
  <si>
    <t>J309E-005599</t>
  </si>
  <si>
    <t>WR</t>
  </si>
  <si>
    <t>WR426FN</t>
  </si>
  <si>
    <t>426FN</t>
  </si>
  <si>
    <t>JYACJ02WX1A</t>
  </si>
  <si>
    <t>21FKB72</t>
  </si>
  <si>
    <t>FLEETLINE</t>
  </si>
  <si>
    <t>AEROSEDAN</t>
  </si>
  <si>
    <t>7A82R230702</t>
  </si>
  <si>
    <t>448S-COVERED</t>
  </si>
  <si>
    <t>E-EF44</t>
  </si>
  <si>
    <t>840CI</t>
  </si>
  <si>
    <t>E-31</t>
  </si>
  <si>
    <t>WBAEF81070C</t>
  </si>
  <si>
    <t>ZDM888S</t>
  </si>
  <si>
    <t>SP2</t>
  </si>
  <si>
    <t>7AT0570FX21</t>
  </si>
  <si>
    <t>STBV-96</t>
  </si>
  <si>
    <t>TC-F52087</t>
  </si>
  <si>
    <t>WAGON</t>
  </si>
  <si>
    <t>7AT0C12EX22</t>
  </si>
  <si>
    <t>T140VDD</t>
  </si>
  <si>
    <t>T140V-DP82625</t>
  </si>
  <si>
    <t>BONNEVILLE</t>
  </si>
  <si>
    <t>7AT0HF0MX22</t>
  </si>
  <si>
    <t>NC30-10</t>
  </si>
  <si>
    <t>NC30</t>
  </si>
  <si>
    <t>7AT08G01X21</t>
  </si>
  <si>
    <t>CD9A-00</t>
  </si>
  <si>
    <t>4G63-NT7948</t>
  </si>
  <si>
    <t>E-CD9A</t>
  </si>
  <si>
    <t>LANCER</t>
  </si>
  <si>
    <t>GSR EVOLUTION 1 4WD</t>
  </si>
  <si>
    <t>HURUNUI DISTRICT</t>
  </si>
  <si>
    <t>7A8CJ0D0709</t>
  </si>
  <si>
    <t>RJ170B-</t>
  </si>
  <si>
    <t>HO7C-A39475</t>
  </si>
  <si>
    <t>P-RJ170B</t>
  </si>
  <si>
    <t>7A884110902</t>
  </si>
  <si>
    <t>STA7752</t>
  </si>
  <si>
    <t>7AT0C11NX18</t>
  </si>
  <si>
    <t>GHNL210</t>
  </si>
  <si>
    <t>16GC-V-4191</t>
  </si>
  <si>
    <t>MG</t>
  </si>
  <si>
    <t>A</t>
  </si>
  <si>
    <t>1600 MK2</t>
  </si>
  <si>
    <t>QUEENSTOWN-LAKES DISTRICT</t>
  </si>
  <si>
    <t>7AT0C80BX22</t>
  </si>
  <si>
    <t>PK10-00</t>
  </si>
  <si>
    <t>E-PK10</t>
  </si>
  <si>
    <t>PAO</t>
  </si>
  <si>
    <t>7AT0DH67X21</t>
  </si>
  <si>
    <t>1G1YY2188K5</t>
  </si>
  <si>
    <t>21847B1</t>
  </si>
  <si>
    <t>7AT02R1RX21</t>
  </si>
  <si>
    <t>9F01F22</t>
  </si>
  <si>
    <t>7AT06G0FX22</t>
  </si>
  <si>
    <t>114279W</t>
  </si>
  <si>
    <t>NOVA</t>
  </si>
  <si>
    <t>7AT02R0AX21</t>
  </si>
  <si>
    <t>V8INTER</t>
  </si>
  <si>
    <t>F350</t>
  </si>
  <si>
    <t>SUPERCREW</t>
  </si>
  <si>
    <t>1FTWW33P34E</t>
  </si>
  <si>
    <t>EC8SE-1</t>
  </si>
  <si>
    <t>E-EC8SE</t>
  </si>
  <si>
    <t>EUNOS</t>
  </si>
  <si>
    <t>PRESSO</t>
  </si>
  <si>
    <t>7A8N6010702</t>
  </si>
  <si>
    <t>1G1YY21</t>
  </si>
  <si>
    <t>1G1YY218XK5</t>
  </si>
  <si>
    <t>WP0ZZZ9</t>
  </si>
  <si>
    <t>JE</t>
  </si>
  <si>
    <t>PORSCHE</t>
  </si>
  <si>
    <t>S4</t>
  </si>
  <si>
    <t>WP0ZZZ92ZJS</t>
  </si>
  <si>
    <t>KH250B0</t>
  </si>
  <si>
    <t>S1E056351</t>
  </si>
  <si>
    <t>KH</t>
  </si>
  <si>
    <t>250B</t>
  </si>
  <si>
    <t>7AT09X1NX22</t>
  </si>
  <si>
    <t>2GCEC19</t>
  </si>
  <si>
    <t>C1500</t>
  </si>
  <si>
    <t>2GCEC19K2M1</t>
  </si>
  <si>
    <t>Z28</t>
  </si>
  <si>
    <t>MACKENZIE DISTRICT</t>
  </si>
  <si>
    <t>1G1FP21F3KL</t>
  </si>
  <si>
    <t>KZJ90-0</t>
  </si>
  <si>
    <t>1KZ</t>
  </si>
  <si>
    <t>KD-KZJ90W</t>
  </si>
  <si>
    <t>LANDCRUISER</t>
  </si>
  <si>
    <t>PRADO</t>
  </si>
  <si>
    <t>WELLINGTON CITY</t>
  </si>
  <si>
    <t>7A8H60H0703</t>
  </si>
  <si>
    <t>VC55L03</t>
  </si>
  <si>
    <t>BNR32-0</t>
  </si>
  <si>
    <t>7AT0DH12X12</t>
  </si>
  <si>
    <t>VC57B25</t>
  </si>
  <si>
    <t>7A82R0G0707</t>
  </si>
  <si>
    <t>FRR32L1</t>
  </si>
  <si>
    <t>6HE1-881938</t>
  </si>
  <si>
    <t>U-FRR32L1</t>
  </si>
  <si>
    <t>FRR32L  4X2</t>
  </si>
  <si>
    <t>7A897150804</t>
  </si>
  <si>
    <t>R100-61</t>
  </si>
  <si>
    <t>83450095102VB</t>
  </si>
  <si>
    <t>R100</t>
  </si>
  <si>
    <t>7AT01H37X20</t>
  </si>
  <si>
    <t>F-H33489</t>
  </si>
  <si>
    <t>B GT</t>
  </si>
  <si>
    <t>THAMES-COROMANDEL DISTRICT</t>
  </si>
  <si>
    <t>7AT0C800X21</t>
  </si>
  <si>
    <t>TMC</t>
  </si>
  <si>
    <t>SG</t>
  </si>
  <si>
    <t>7AT0KK0LX21</t>
  </si>
  <si>
    <t>CUSTOM</t>
  </si>
  <si>
    <t>HOLDEN EK</t>
  </si>
  <si>
    <t>7AT10N01X20</t>
  </si>
  <si>
    <t>4D31B55055</t>
  </si>
  <si>
    <t>FE091E</t>
  </si>
  <si>
    <t>7A1FE091ERP</t>
  </si>
  <si>
    <t>GJ61641</t>
  </si>
  <si>
    <t>SIERRA</t>
  </si>
  <si>
    <t>RS COSWORTH</t>
  </si>
  <si>
    <t>WF0EXXGBBEG</t>
  </si>
  <si>
    <t>ARTICULATED TRUCK</t>
  </si>
  <si>
    <t>EA7-419-1V2416</t>
  </si>
  <si>
    <t>MACK</t>
  </si>
  <si>
    <t>CH688</t>
  </si>
  <si>
    <t>6FMA02C552D</t>
  </si>
  <si>
    <t>UCS69GW</t>
  </si>
  <si>
    <t>4JG2</t>
  </si>
  <si>
    <t>KD-UCS69W</t>
  </si>
  <si>
    <t>WIZARD</t>
  </si>
  <si>
    <t>7A8971T0702</t>
  </si>
  <si>
    <t>6D15-UNKNOWN</t>
  </si>
  <si>
    <t>P-MK116J</t>
  </si>
  <si>
    <t>MK116J-70792</t>
  </si>
  <si>
    <t>7A8CJ1D0996</t>
  </si>
  <si>
    <t>N7431112</t>
  </si>
  <si>
    <t>BEDFORD</t>
  </si>
  <si>
    <t>TM</t>
  </si>
  <si>
    <t>SBEWNV3NPLT</t>
  </si>
  <si>
    <t>TMC-245</t>
  </si>
  <si>
    <t>4E</t>
  </si>
  <si>
    <t>7A8KK040200</t>
  </si>
  <si>
    <t>DM250101676</t>
  </si>
  <si>
    <t>SCRAMBLER</t>
  </si>
  <si>
    <t>7A857231109</t>
  </si>
  <si>
    <t>1EJ-049827</t>
  </si>
  <si>
    <t>DT</t>
  </si>
  <si>
    <t>DT175N</t>
  </si>
  <si>
    <t>JYADG03X31A</t>
  </si>
  <si>
    <t>NPR70LY</t>
  </si>
  <si>
    <t>4HE1</t>
  </si>
  <si>
    <t>NPC1SF</t>
  </si>
  <si>
    <t>7A897160898</t>
  </si>
  <si>
    <t>WL417827</t>
  </si>
  <si>
    <t>B2500</t>
  </si>
  <si>
    <t>UJ99 AAA</t>
  </si>
  <si>
    <t>DBL CAB P/UP 2.5 DE</t>
  </si>
  <si>
    <t>SOUTH TARANAKI DISTRICT</t>
  </si>
  <si>
    <t>JM0UFY0W500</t>
  </si>
  <si>
    <t>1KZ-0382398</t>
  </si>
  <si>
    <t>PRADO RX</t>
  </si>
  <si>
    <t>KAPITI COAST DISTRICT</t>
  </si>
  <si>
    <t>7A8H60H0700</t>
  </si>
  <si>
    <t>CF14425</t>
  </si>
  <si>
    <t>MM47020HE</t>
  </si>
  <si>
    <t>7A8HF0A0700</t>
  </si>
  <si>
    <t>41447U1</t>
  </si>
  <si>
    <t>B1104MA</t>
  </si>
  <si>
    <t>WH23U2A</t>
  </si>
  <si>
    <t>7AT0520FX20</t>
  </si>
  <si>
    <t>C394944</t>
  </si>
  <si>
    <t>C3949446</t>
  </si>
  <si>
    <t>NEW YORKER</t>
  </si>
  <si>
    <t>7AT02X0JX21</t>
  </si>
  <si>
    <t>NE03E24005342</t>
  </si>
  <si>
    <t>JH2NE03U1YK</t>
  </si>
  <si>
    <t>J031542</t>
  </si>
  <si>
    <t>SMTTC339</t>
  </si>
  <si>
    <t>SMTTC339JMT</t>
  </si>
  <si>
    <t>DX200G-</t>
  </si>
  <si>
    <t>KH1DX200GE010322</t>
  </si>
  <si>
    <t>KDX</t>
  </si>
  <si>
    <t>200SR</t>
  </si>
  <si>
    <t>7AT09X07X21</t>
  </si>
  <si>
    <t>RC4R019581</t>
  </si>
  <si>
    <t>ZDM1RC4N9RB</t>
  </si>
  <si>
    <t>J707-101901</t>
  </si>
  <si>
    <t>7AT0GK4HX21</t>
  </si>
  <si>
    <t>124378L</t>
  </si>
  <si>
    <t>V8</t>
  </si>
  <si>
    <t>783205H</t>
  </si>
  <si>
    <t>A003098X</t>
  </si>
  <si>
    <t>B</t>
  </si>
  <si>
    <t>FACTORY BUILT</t>
  </si>
  <si>
    <t>INTERNATIONAL</t>
  </si>
  <si>
    <t>1200B</t>
  </si>
  <si>
    <t>MANAWATU DISTRICT</t>
  </si>
  <si>
    <t>7AT05P00X21</t>
  </si>
  <si>
    <t>6K43C14</t>
  </si>
  <si>
    <t>7AT06G11X20</t>
  </si>
  <si>
    <t>1FALP42T1SF</t>
  </si>
  <si>
    <t>SN3A-16</t>
  </si>
  <si>
    <t>7AT0C115X20</t>
  </si>
  <si>
    <t>K083405</t>
  </si>
  <si>
    <t>VOLKSWAGEN</t>
  </si>
  <si>
    <t>KOMBI</t>
  </si>
  <si>
    <t>7AT0J40JX20</t>
  </si>
  <si>
    <t>WHYD21-</t>
  </si>
  <si>
    <t>VG30-UNKNOWN</t>
  </si>
  <si>
    <t>E-WHYD21</t>
  </si>
  <si>
    <t>TERRANO</t>
  </si>
  <si>
    <t>7A8DH2B0701</t>
  </si>
  <si>
    <t>F10JR16</t>
  </si>
  <si>
    <t>UNIBODY</t>
  </si>
  <si>
    <t>7AT06G14X19</t>
  </si>
  <si>
    <t>1P520M130011112</t>
  </si>
  <si>
    <t>LIFAN LF125</t>
  </si>
  <si>
    <t>LF3TCJ6033G</t>
  </si>
  <si>
    <t>3RZ2694206</t>
  </si>
  <si>
    <t>HILUX</t>
  </si>
  <si>
    <t>NZTCU</t>
  </si>
  <si>
    <t>2.7P 2WD X/C UTE 5M</t>
  </si>
  <si>
    <t>JTFVM526800</t>
  </si>
  <si>
    <t>GOLD WING</t>
  </si>
  <si>
    <t>GLI800P6</t>
  </si>
  <si>
    <t>GREY DISTRICT</t>
  </si>
  <si>
    <t>1HFSC47F46A</t>
  </si>
  <si>
    <t>VTRFS40</t>
  </si>
  <si>
    <t>FS400506011740</t>
  </si>
  <si>
    <t>GAS GAS</t>
  </si>
  <si>
    <t>EC</t>
  </si>
  <si>
    <t>GAS GAS EC400</t>
  </si>
  <si>
    <t>SPAIN</t>
  </si>
  <si>
    <t>VTRFS4000C0</t>
  </si>
  <si>
    <t>KZN130-</t>
  </si>
  <si>
    <t>Y-KZN130W</t>
  </si>
  <si>
    <t>SURF</t>
  </si>
  <si>
    <t>7A8H60G0702</t>
  </si>
  <si>
    <t>350 L81</t>
  </si>
  <si>
    <t>1G1AY8760BS</t>
  </si>
  <si>
    <t>4GY-025</t>
  </si>
  <si>
    <t>UNSTAMPED</t>
  </si>
  <si>
    <t>4GY</t>
  </si>
  <si>
    <t>TT250RR</t>
  </si>
  <si>
    <t>7AT0JHGXX21</t>
  </si>
  <si>
    <t>MOTO GUZZI</t>
  </si>
  <si>
    <t>CALIFORNIA</t>
  </si>
  <si>
    <t>ZGUKDBKD9YM</t>
  </si>
  <si>
    <t>J621E-000711</t>
  </si>
  <si>
    <t>WR450FT</t>
  </si>
  <si>
    <t>450FT</t>
  </si>
  <si>
    <t>JYACJ07W65A</t>
  </si>
  <si>
    <t>SE28TN-</t>
  </si>
  <si>
    <t>VANETTE</t>
  </si>
  <si>
    <t>7AT0DH19X21</t>
  </si>
  <si>
    <t>JD01E-2425400</t>
  </si>
  <si>
    <t>JH2JD01U4PK</t>
  </si>
  <si>
    <t>HUSABERG</t>
  </si>
  <si>
    <t>TE</t>
  </si>
  <si>
    <t>TE300</t>
  </si>
  <si>
    <t>VBKHTA203CM</t>
  </si>
  <si>
    <t>CE148S1</t>
  </si>
  <si>
    <t>C10</t>
  </si>
  <si>
    <t>7AT02R0RX20</t>
  </si>
  <si>
    <t>E-928</t>
  </si>
  <si>
    <t>WP0ZZZ92ZMS</t>
  </si>
  <si>
    <t>VBKRCA4006M</t>
  </si>
  <si>
    <t>PT CRUISER</t>
  </si>
  <si>
    <t>PTZH4428M</t>
  </si>
  <si>
    <t>PT CLASSIC AUTO 2.4L</t>
  </si>
  <si>
    <t>BULLER DISTRICT</t>
  </si>
  <si>
    <t>4-GEAR AUTO</t>
  </si>
  <si>
    <t>1C8F4B8B05T</t>
  </si>
  <si>
    <t>Class ID</t>
  </si>
  <si>
    <t>Area type</t>
  </si>
  <si>
    <t>S.no</t>
  </si>
  <si>
    <t>Color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</si>
</sst>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2016-508D-46F5-9C03-6736F2292DAE}">
  <dimension ref="A1:AK199"/>
  <sheetViews>
    <sheetView tabSelected="1" zoomScale="78" zoomScaleNormal="78" workbookViewId="0">
      <selection activeCell="B2" sqref="B2:B199"/>
    </sheetView>
  </sheetViews>
  <sheetFormatPr defaultRowHeight="14.4" x14ac:dyDescent="0.3"/>
  <cols>
    <col min="1" max="2" width="19.5546875" customWidth="1"/>
    <col min="4" max="4" width="25.5546875" bestFit="1" customWidth="1"/>
    <col min="5" max="5" width="13.21875" bestFit="1" customWidth="1"/>
    <col min="6" max="6" width="11.77734375" bestFit="1" customWidth="1"/>
    <col min="7" max="7" width="8.88671875" customWidth="1"/>
    <col min="8" max="8" width="23.109375" customWidth="1"/>
    <col min="9" max="9" width="31" customWidth="1"/>
    <col min="10" max="10" width="27.88671875" customWidth="1"/>
    <col min="11" max="11" width="22.77734375" bestFit="1" customWidth="1"/>
    <col min="13" max="13" width="14.33203125" bestFit="1" customWidth="1"/>
    <col min="14" max="14" width="29.77734375" bestFit="1" customWidth="1"/>
    <col min="15" max="15" width="29.77734375" customWidth="1"/>
    <col min="16" max="16" width="24.88671875" customWidth="1"/>
    <col min="17" max="17" width="16.6640625" customWidth="1"/>
    <col min="18" max="18" width="17.33203125" customWidth="1"/>
    <col min="19" max="19" width="16.5546875" customWidth="1"/>
    <col min="20" max="20" width="21.33203125" customWidth="1"/>
    <col min="21" max="22" width="17.33203125" customWidth="1"/>
    <col min="23" max="23" width="18.77734375" customWidth="1"/>
    <col min="24" max="24" width="18.109375" customWidth="1"/>
    <col min="25" max="25" width="14.33203125" customWidth="1"/>
    <col min="26" max="26" width="18.44140625" customWidth="1"/>
    <col min="27" max="27" width="29.109375" customWidth="1"/>
    <col min="28" max="29" width="20.109375" customWidth="1"/>
    <col min="30" max="30" width="29.88671875" customWidth="1"/>
    <col min="31" max="31" width="8.88671875" customWidth="1"/>
    <col min="32" max="32" width="18.44140625" customWidth="1"/>
    <col min="33" max="33" width="11" customWidth="1"/>
    <col min="34" max="34" width="24" bestFit="1" customWidth="1"/>
    <col min="35" max="35" width="26.33203125" bestFit="1" customWidth="1"/>
    <col min="36" max="36" width="13.109375" bestFit="1" customWidth="1"/>
    <col min="37" max="37" width="14" bestFit="1" customWidth="1"/>
  </cols>
  <sheetData>
    <row r="1" spans="1:37" x14ac:dyDescent="0.3">
      <c r="A1" t="s">
        <v>0</v>
      </c>
      <c r="B1" t="s">
        <v>911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908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909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</row>
    <row r="2" spans="1:37" x14ac:dyDescent="0.3">
      <c r="B2">
        <f>IF(C2="RED",1,IF(C2="Green",2,IF(C2="WHITE",3,IF(C2="YELLOW",4,IF(C2="PINK",5,IF(C2="ORANGE",6,IF(C2="BLACK",7,IF(C2="SILVER",8,IF(C2="Cream",9,IF(C2="BLUE",10,IF(C2="BROWN",11,IF(C2="GREY",12,IF(C2="PURPLE",13,IF(C2="GOLD",14,0))))))))))))))</f>
        <v>1</v>
      </c>
      <c r="C2" t="s">
        <v>34</v>
      </c>
      <c r="D2" t="s">
        <v>35</v>
      </c>
      <c r="E2">
        <v>6380</v>
      </c>
      <c r="F2" t="s">
        <v>36</v>
      </c>
      <c r="G2" t="s">
        <v>37</v>
      </c>
      <c r="H2" t="s">
        <v>38</v>
      </c>
      <c r="I2">
        <v>2025</v>
      </c>
      <c r="J2">
        <v>2</v>
      </c>
      <c r="K2">
        <v>0</v>
      </c>
      <c r="L2">
        <v>0</v>
      </c>
      <c r="M2" t="s">
        <v>39</v>
      </c>
      <c r="N2" t="s">
        <v>40</v>
      </c>
      <c r="O2">
        <f>IF(N2="PRIVATE",1,IF(N2="WHOLESALE/RETAIL/TRADE",2,IF(N2="AGRICULTURE/FORESTRY/FISHING",3,IF(N2="COMMERCIAL ROAD TRANSPORT",4,IF(N2="BUSINESS/FINANCIAL",5,IF(N2="ELECTRICITY/GAS/WATER",6,IF(N2="CONSTRUCTING",7,0)))))))</f>
        <v>1</v>
      </c>
      <c r="Q2" t="s">
        <v>41</v>
      </c>
      <c r="R2" t="s">
        <v>42</v>
      </c>
      <c r="S2" t="s">
        <v>43</v>
      </c>
      <c r="U2">
        <v>2</v>
      </c>
      <c r="V2">
        <v>6</v>
      </c>
      <c r="W2" t="s">
        <v>44</v>
      </c>
      <c r="X2" t="s">
        <v>45</v>
      </c>
      <c r="Y2">
        <v>0</v>
      </c>
      <c r="Z2" t="s">
        <v>45</v>
      </c>
      <c r="AC2" t="str">
        <f>IF(OR(AD2="CHRISTCHURCH CITY",AD2="AUCKLAND",AD2="HAMILTON CITY",AD2="WELLINGTON CITY"),"URBAN", "RURAL")</f>
        <v>URBAN</v>
      </c>
      <c r="AD2" t="s">
        <v>46</v>
      </c>
      <c r="AE2">
        <v>8025</v>
      </c>
      <c r="AG2">
        <v>0</v>
      </c>
      <c r="AH2" t="s">
        <v>47</v>
      </c>
      <c r="AI2" t="s">
        <v>48</v>
      </c>
      <c r="AJ2">
        <v>1960</v>
      </c>
      <c r="AK2" t="s">
        <v>49</v>
      </c>
    </row>
    <row r="3" spans="1:37" x14ac:dyDescent="0.3">
      <c r="B3">
        <f t="shared" ref="B3:B66" si="0">IF(C3="RED",1,IF(C3="Green",2,IF(C3="WHITE",3,IF(C3="YELLOW",4,IF(C3="PINK",5,IF(C3="ORANGE",6,IF(C3="BLACK",7,IF(C3="SILVER",8,IF(C3="Cream",9,IF(C3="BLUE",10,IF(C3="BROWN",11,IF(C3="GREY",12,IF(C3="PURPLE",13,IF(C3="GOLD",14,0))))))))))))))</f>
        <v>2</v>
      </c>
      <c r="C3" t="s">
        <v>50</v>
      </c>
      <c r="D3" t="s">
        <v>51</v>
      </c>
      <c r="E3">
        <v>2286</v>
      </c>
      <c r="F3">
        <v>9510026</v>
      </c>
      <c r="G3" t="s">
        <v>52</v>
      </c>
      <c r="H3" t="s">
        <v>53</v>
      </c>
      <c r="I3">
        <v>2025</v>
      </c>
      <c r="J3">
        <v>2</v>
      </c>
      <c r="K3">
        <v>0</v>
      </c>
      <c r="L3">
        <v>0</v>
      </c>
      <c r="M3" t="s">
        <v>39</v>
      </c>
      <c r="N3" t="s">
        <v>40</v>
      </c>
      <c r="O3">
        <f t="shared" ref="O3:O66" si="1">IF(N3="PRIVATE",1,IF(N3="WHOLESALE/RETAIL/TRADE",2,IF(N3="AGRICULTURE/FORESTRY/FISHING",3,IF(N3="COMMERCIAL ROAD TRANSPORT",4,IF(N3="BUSINESS/FINANCIAL",5,IF(N3="ELECTRICITY/GAS/WATER",6,IF(N3="CONSTRUCTING",7,0)))))))</f>
        <v>1</v>
      </c>
      <c r="Q3" t="s">
        <v>54</v>
      </c>
      <c r="R3">
        <v>88</v>
      </c>
      <c r="S3" t="s">
        <v>43</v>
      </c>
      <c r="U3">
        <v>2</v>
      </c>
      <c r="V3">
        <v>3</v>
      </c>
      <c r="W3" t="s">
        <v>55</v>
      </c>
      <c r="X3" t="s">
        <v>56</v>
      </c>
      <c r="Y3">
        <v>0</v>
      </c>
      <c r="Z3" t="s">
        <v>56</v>
      </c>
      <c r="AB3" t="s">
        <v>57</v>
      </c>
      <c r="AC3" t="str">
        <f t="shared" ref="AC3:AC66" si="2">IF(OR(AD3="CHRISTCHURCH CITY",AD3="AUCKLAND",AD3="HAMILTON CITY",AD3="WELLINGTON CITY"),"URBAN", "RURAL")</f>
        <v>RURAL</v>
      </c>
      <c r="AD3" t="s">
        <v>58</v>
      </c>
      <c r="AE3">
        <v>185</v>
      </c>
      <c r="AG3">
        <v>0</v>
      </c>
      <c r="AH3" t="s">
        <v>47</v>
      </c>
      <c r="AI3" t="s">
        <v>48</v>
      </c>
      <c r="AJ3">
        <v>1973</v>
      </c>
      <c r="AK3" t="s">
        <v>59</v>
      </c>
    </row>
    <row r="4" spans="1:37" x14ac:dyDescent="0.3">
      <c r="B4">
        <f t="shared" si="0"/>
        <v>3</v>
      </c>
      <c r="C4" t="s">
        <v>60</v>
      </c>
      <c r="D4" t="s">
        <v>61</v>
      </c>
      <c r="E4">
        <v>3630</v>
      </c>
      <c r="F4" t="s">
        <v>62</v>
      </c>
      <c r="G4" t="s">
        <v>63</v>
      </c>
      <c r="H4" t="s">
        <v>64</v>
      </c>
      <c r="I4">
        <v>2025</v>
      </c>
      <c r="J4">
        <v>4</v>
      </c>
      <c r="K4">
        <v>4500</v>
      </c>
      <c r="L4">
        <v>2310</v>
      </c>
      <c r="M4" t="s">
        <v>39</v>
      </c>
      <c r="N4" t="s">
        <v>40</v>
      </c>
      <c r="O4">
        <f t="shared" si="1"/>
        <v>1</v>
      </c>
      <c r="P4" t="s">
        <v>65</v>
      </c>
      <c r="Q4" t="s">
        <v>66</v>
      </c>
      <c r="R4" t="s">
        <v>67</v>
      </c>
      <c r="S4" t="s">
        <v>68</v>
      </c>
      <c r="U4">
        <v>2</v>
      </c>
      <c r="V4">
        <v>3</v>
      </c>
      <c r="W4" t="s">
        <v>44</v>
      </c>
      <c r="X4" t="s">
        <v>69</v>
      </c>
      <c r="Y4">
        <v>0</v>
      </c>
      <c r="Z4" t="s">
        <v>69</v>
      </c>
      <c r="AC4" t="str">
        <f t="shared" si="2"/>
        <v>RURAL</v>
      </c>
      <c r="AD4" t="s">
        <v>70</v>
      </c>
      <c r="AE4">
        <v>4500</v>
      </c>
      <c r="AG4">
        <v>14200</v>
      </c>
      <c r="AH4" t="s">
        <v>71</v>
      </c>
      <c r="AI4" t="s">
        <v>48</v>
      </c>
      <c r="AJ4">
        <v>1993</v>
      </c>
      <c r="AK4" t="s">
        <v>72</v>
      </c>
    </row>
    <row r="5" spans="1:37" x14ac:dyDescent="0.3">
      <c r="B5">
        <f t="shared" si="0"/>
        <v>4</v>
      </c>
      <c r="C5" t="s">
        <v>73</v>
      </c>
      <c r="D5" t="s">
        <v>35</v>
      </c>
      <c r="E5">
        <v>5766</v>
      </c>
      <c r="F5" t="s">
        <v>74</v>
      </c>
      <c r="G5" t="s">
        <v>37</v>
      </c>
      <c r="H5" t="s">
        <v>38</v>
      </c>
      <c r="I5">
        <v>2025</v>
      </c>
      <c r="J5">
        <v>1</v>
      </c>
      <c r="K5">
        <v>0</v>
      </c>
      <c r="L5">
        <v>0</v>
      </c>
      <c r="M5" t="s">
        <v>39</v>
      </c>
      <c r="N5" t="s">
        <v>40</v>
      </c>
      <c r="O5">
        <f t="shared" si="1"/>
        <v>1</v>
      </c>
      <c r="Q5" t="s">
        <v>75</v>
      </c>
      <c r="R5" t="s">
        <v>76</v>
      </c>
      <c r="S5" t="s">
        <v>43</v>
      </c>
      <c r="U5">
        <v>2</v>
      </c>
      <c r="V5">
        <v>4</v>
      </c>
      <c r="W5" t="s">
        <v>44</v>
      </c>
      <c r="X5" t="s">
        <v>45</v>
      </c>
      <c r="Y5">
        <v>0</v>
      </c>
      <c r="Z5" t="s">
        <v>45</v>
      </c>
      <c r="AC5" t="str">
        <f t="shared" si="2"/>
        <v>RURAL</v>
      </c>
      <c r="AD5" t="s">
        <v>77</v>
      </c>
      <c r="AE5">
        <v>3120</v>
      </c>
      <c r="AG5">
        <v>0</v>
      </c>
      <c r="AH5" t="s">
        <v>47</v>
      </c>
      <c r="AI5" t="s">
        <v>48</v>
      </c>
      <c r="AJ5">
        <v>1969</v>
      </c>
      <c r="AK5" t="s">
        <v>78</v>
      </c>
    </row>
    <row r="6" spans="1:37" x14ac:dyDescent="0.3">
      <c r="B6">
        <f t="shared" si="0"/>
        <v>3</v>
      </c>
      <c r="C6" t="s">
        <v>60</v>
      </c>
      <c r="D6" t="s">
        <v>61</v>
      </c>
      <c r="E6">
        <v>4890</v>
      </c>
      <c r="F6" t="s">
        <v>79</v>
      </c>
      <c r="G6" t="s">
        <v>63</v>
      </c>
      <c r="H6" t="s">
        <v>80</v>
      </c>
      <c r="I6">
        <v>2025</v>
      </c>
      <c r="J6">
        <v>3</v>
      </c>
      <c r="K6">
        <v>5500</v>
      </c>
      <c r="L6">
        <v>2800</v>
      </c>
      <c r="M6" t="s">
        <v>39</v>
      </c>
      <c r="N6" t="s">
        <v>81</v>
      </c>
      <c r="O6">
        <f t="shared" si="1"/>
        <v>2</v>
      </c>
      <c r="P6" t="s">
        <v>82</v>
      </c>
      <c r="Q6" t="s">
        <v>83</v>
      </c>
      <c r="R6" t="s">
        <v>84</v>
      </c>
      <c r="S6" t="s">
        <v>68</v>
      </c>
      <c r="U6">
        <v>2</v>
      </c>
      <c r="V6">
        <v>3</v>
      </c>
      <c r="W6" t="s">
        <v>44</v>
      </c>
      <c r="X6" t="s">
        <v>69</v>
      </c>
      <c r="Y6">
        <v>0</v>
      </c>
      <c r="Z6" t="s">
        <v>69</v>
      </c>
      <c r="AB6" t="s">
        <v>85</v>
      </c>
      <c r="AC6" t="str">
        <f t="shared" si="2"/>
        <v>RURAL</v>
      </c>
      <c r="AD6" t="s">
        <v>77</v>
      </c>
      <c r="AE6">
        <v>3120</v>
      </c>
      <c r="AG6">
        <v>14200</v>
      </c>
      <c r="AH6" t="s">
        <v>71</v>
      </c>
      <c r="AI6" t="s">
        <v>86</v>
      </c>
      <c r="AJ6">
        <v>1999</v>
      </c>
      <c r="AK6" t="s">
        <v>87</v>
      </c>
    </row>
    <row r="7" spans="1:37" x14ac:dyDescent="0.3">
      <c r="B7">
        <f t="shared" si="0"/>
        <v>5</v>
      </c>
      <c r="C7" t="s">
        <v>88</v>
      </c>
      <c r="D7" t="s">
        <v>89</v>
      </c>
      <c r="E7">
        <v>125</v>
      </c>
      <c r="G7" t="s">
        <v>90</v>
      </c>
      <c r="H7" t="s">
        <v>91</v>
      </c>
      <c r="I7">
        <v>2025</v>
      </c>
      <c r="J7">
        <v>7</v>
      </c>
      <c r="K7">
        <v>0</v>
      </c>
      <c r="L7">
        <v>0</v>
      </c>
      <c r="M7" t="s">
        <v>39</v>
      </c>
      <c r="N7" t="s">
        <v>40</v>
      </c>
      <c r="O7">
        <f t="shared" si="1"/>
        <v>1</v>
      </c>
      <c r="Q7" t="s">
        <v>92</v>
      </c>
      <c r="R7" t="s">
        <v>93</v>
      </c>
      <c r="S7" t="s">
        <v>43</v>
      </c>
      <c r="U7">
        <v>0</v>
      </c>
      <c r="V7">
        <v>0</v>
      </c>
      <c r="W7" t="s">
        <v>44</v>
      </c>
      <c r="X7" t="s">
        <v>94</v>
      </c>
      <c r="Y7">
        <v>0</v>
      </c>
      <c r="Z7" t="s">
        <v>95</v>
      </c>
      <c r="AB7" t="s">
        <v>96</v>
      </c>
      <c r="AC7" t="str">
        <f t="shared" si="2"/>
        <v>RURAL</v>
      </c>
      <c r="AD7" t="s">
        <v>97</v>
      </c>
      <c r="AE7">
        <v>9320</v>
      </c>
      <c r="AG7">
        <v>0</v>
      </c>
      <c r="AH7" t="s">
        <v>89</v>
      </c>
      <c r="AI7" t="s">
        <v>48</v>
      </c>
      <c r="AJ7">
        <v>2010</v>
      </c>
      <c r="AK7" t="s">
        <v>98</v>
      </c>
    </row>
    <row r="8" spans="1:37" x14ac:dyDescent="0.3">
      <c r="B8">
        <f t="shared" si="0"/>
        <v>3</v>
      </c>
      <c r="C8" t="s">
        <v>60</v>
      </c>
      <c r="D8" t="s">
        <v>99</v>
      </c>
      <c r="E8">
        <v>5753</v>
      </c>
      <c r="F8" t="s">
        <v>100</v>
      </c>
      <c r="G8" t="s">
        <v>37</v>
      </c>
      <c r="H8" t="s">
        <v>101</v>
      </c>
      <c r="I8">
        <v>2025</v>
      </c>
      <c r="J8">
        <v>4</v>
      </c>
      <c r="K8">
        <v>0</v>
      </c>
      <c r="L8">
        <v>0</v>
      </c>
      <c r="M8" t="s">
        <v>39</v>
      </c>
      <c r="N8" t="s">
        <v>40</v>
      </c>
      <c r="O8">
        <f t="shared" si="1"/>
        <v>1</v>
      </c>
      <c r="Q8" t="s">
        <v>102</v>
      </c>
      <c r="R8" t="s">
        <v>103</v>
      </c>
      <c r="S8" t="s">
        <v>43</v>
      </c>
      <c r="U8">
        <v>2</v>
      </c>
      <c r="V8">
        <v>5</v>
      </c>
      <c r="W8" t="s">
        <v>44</v>
      </c>
      <c r="X8" t="s">
        <v>104</v>
      </c>
      <c r="Y8">
        <v>0</v>
      </c>
      <c r="Z8" t="s">
        <v>105</v>
      </c>
      <c r="AB8" t="s">
        <v>106</v>
      </c>
      <c r="AC8" t="str">
        <f t="shared" si="2"/>
        <v>RURAL</v>
      </c>
      <c r="AD8" t="s">
        <v>107</v>
      </c>
      <c r="AE8">
        <v>9876</v>
      </c>
      <c r="AG8">
        <v>0</v>
      </c>
      <c r="AH8" t="s">
        <v>47</v>
      </c>
      <c r="AI8" t="s">
        <v>48</v>
      </c>
      <c r="AJ8">
        <v>1972</v>
      </c>
      <c r="AK8" t="s">
        <v>108</v>
      </c>
    </row>
    <row r="9" spans="1:37" x14ac:dyDescent="0.3">
      <c r="B9">
        <f t="shared" si="0"/>
        <v>6</v>
      </c>
      <c r="C9" t="s">
        <v>109</v>
      </c>
      <c r="D9" t="s">
        <v>99</v>
      </c>
      <c r="E9">
        <v>4949</v>
      </c>
      <c r="F9" t="s">
        <v>110</v>
      </c>
      <c r="G9" t="s">
        <v>37</v>
      </c>
      <c r="H9" t="s">
        <v>38</v>
      </c>
      <c r="I9">
        <v>2025</v>
      </c>
      <c r="J9">
        <v>1</v>
      </c>
      <c r="K9">
        <v>0</v>
      </c>
      <c r="L9">
        <v>0</v>
      </c>
      <c r="M9" t="s">
        <v>39</v>
      </c>
      <c r="N9" t="s">
        <v>40</v>
      </c>
      <c r="O9">
        <f t="shared" si="1"/>
        <v>1</v>
      </c>
      <c r="Q9" t="s">
        <v>102</v>
      </c>
      <c r="R9" t="s">
        <v>111</v>
      </c>
      <c r="S9" t="s">
        <v>43</v>
      </c>
      <c r="U9">
        <v>2</v>
      </c>
      <c r="V9">
        <v>4</v>
      </c>
      <c r="W9" t="s">
        <v>44</v>
      </c>
      <c r="X9" t="s">
        <v>45</v>
      </c>
      <c r="Y9">
        <v>0</v>
      </c>
      <c r="Z9" t="s">
        <v>45</v>
      </c>
      <c r="AB9" t="s">
        <v>112</v>
      </c>
      <c r="AC9" t="str">
        <f t="shared" si="2"/>
        <v>RURAL</v>
      </c>
      <c r="AD9" t="s">
        <v>113</v>
      </c>
      <c r="AE9">
        <v>5381</v>
      </c>
      <c r="AG9">
        <v>0</v>
      </c>
      <c r="AH9" t="s">
        <v>47</v>
      </c>
      <c r="AI9" t="s">
        <v>48</v>
      </c>
      <c r="AJ9">
        <v>1970</v>
      </c>
      <c r="AK9" t="s">
        <v>114</v>
      </c>
    </row>
    <row r="10" spans="1:37" x14ac:dyDescent="0.3">
      <c r="B10">
        <f t="shared" si="0"/>
        <v>7</v>
      </c>
      <c r="C10" t="s">
        <v>115</v>
      </c>
      <c r="D10" t="s">
        <v>61</v>
      </c>
      <c r="E10">
        <v>5800</v>
      </c>
      <c r="F10" t="s">
        <v>116</v>
      </c>
      <c r="G10" t="s">
        <v>117</v>
      </c>
      <c r="H10" t="s">
        <v>38</v>
      </c>
      <c r="I10">
        <v>2025</v>
      </c>
      <c r="J10">
        <v>5</v>
      </c>
      <c r="K10">
        <v>2522</v>
      </c>
      <c r="L10">
        <v>0</v>
      </c>
      <c r="M10" t="s">
        <v>39</v>
      </c>
      <c r="N10" t="s">
        <v>40</v>
      </c>
      <c r="O10">
        <f t="shared" si="1"/>
        <v>1</v>
      </c>
      <c r="Q10" t="s">
        <v>102</v>
      </c>
      <c r="R10" t="s">
        <v>118</v>
      </c>
      <c r="S10" t="s">
        <v>43</v>
      </c>
      <c r="U10">
        <v>2</v>
      </c>
      <c r="V10">
        <v>2</v>
      </c>
      <c r="W10" t="s">
        <v>44</v>
      </c>
      <c r="X10" t="s">
        <v>45</v>
      </c>
      <c r="Y10">
        <v>0</v>
      </c>
      <c r="Z10" t="s">
        <v>45</v>
      </c>
      <c r="AB10" t="s">
        <v>119</v>
      </c>
      <c r="AC10" t="str">
        <f t="shared" si="2"/>
        <v>RURAL</v>
      </c>
      <c r="AD10" t="s">
        <v>120</v>
      </c>
      <c r="AE10">
        <v>5014</v>
      </c>
      <c r="AG10">
        <v>0</v>
      </c>
      <c r="AH10" t="s">
        <v>71</v>
      </c>
      <c r="AI10" t="s">
        <v>48</v>
      </c>
      <c r="AJ10">
        <v>1959</v>
      </c>
      <c r="AK10" t="s">
        <v>121</v>
      </c>
    </row>
    <row r="11" spans="1:37" x14ac:dyDescent="0.3">
      <c r="B11">
        <f t="shared" si="0"/>
        <v>8</v>
      </c>
      <c r="C11" t="s">
        <v>122</v>
      </c>
      <c r="D11" t="s">
        <v>99</v>
      </c>
      <c r="E11">
        <v>6200</v>
      </c>
      <c r="F11" t="s">
        <v>123</v>
      </c>
      <c r="G11" t="s">
        <v>37</v>
      </c>
      <c r="H11" t="s">
        <v>38</v>
      </c>
      <c r="I11">
        <v>2025</v>
      </c>
      <c r="J11">
        <v>5</v>
      </c>
      <c r="K11">
        <v>2000</v>
      </c>
      <c r="L11">
        <v>0</v>
      </c>
      <c r="M11" t="s">
        <v>39</v>
      </c>
      <c r="N11" t="s">
        <v>40</v>
      </c>
      <c r="O11">
        <f t="shared" si="1"/>
        <v>1</v>
      </c>
      <c r="Q11" t="s">
        <v>124</v>
      </c>
      <c r="R11" t="s">
        <v>125</v>
      </c>
      <c r="S11" t="s">
        <v>43</v>
      </c>
      <c r="U11">
        <v>2</v>
      </c>
      <c r="V11">
        <v>5</v>
      </c>
      <c r="W11" t="s">
        <v>44</v>
      </c>
      <c r="X11" t="s">
        <v>104</v>
      </c>
      <c r="Y11">
        <v>0</v>
      </c>
      <c r="Z11" t="s">
        <v>104</v>
      </c>
      <c r="AC11" t="str">
        <f t="shared" si="2"/>
        <v>RURAL</v>
      </c>
      <c r="AD11" t="s">
        <v>126</v>
      </c>
      <c r="AE11">
        <v>3010</v>
      </c>
      <c r="AG11">
        <v>0</v>
      </c>
      <c r="AH11" t="s">
        <v>47</v>
      </c>
      <c r="AI11" t="s">
        <v>48</v>
      </c>
      <c r="AJ11">
        <v>1979</v>
      </c>
      <c r="AK11" t="s">
        <v>127</v>
      </c>
    </row>
    <row r="12" spans="1:37" x14ac:dyDescent="0.3">
      <c r="B12">
        <f t="shared" si="0"/>
        <v>3</v>
      </c>
      <c r="C12" t="s">
        <v>60</v>
      </c>
      <c r="D12" t="s">
        <v>61</v>
      </c>
      <c r="E12">
        <v>3907</v>
      </c>
      <c r="G12" t="s">
        <v>63</v>
      </c>
      <c r="H12" t="s">
        <v>128</v>
      </c>
      <c r="I12">
        <v>2025</v>
      </c>
      <c r="J12">
        <v>7</v>
      </c>
      <c r="K12">
        <v>6300</v>
      </c>
      <c r="L12">
        <v>2260</v>
      </c>
      <c r="M12" t="s">
        <v>129</v>
      </c>
      <c r="N12" t="s">
        <v>40</v>
      </c>
      <c r="O12">
        <f t="shared" si="1"/>
        <v>1</v>
      </c>
      <c r="Q12" t="s">
        <v>130</v>
      </c>
      <c r="R12" t="s">
        <v>131</v>
      </c>
      <c r="S12" t="s">
        <v>68</v>
      </c>
      <c r="T12" t="s">
        <v>132</v>
      </c>
      <c r="U12">
        <v>2</v>
      </c>
      <c r="V12">
        <v>7</v>
      </c>
      <c r="W12" t="s">
        <v>44</v>
      </c>
      <c r="X12" t="s">
        <v>69</v>
      </c>
      <c r="Y12">
        <v>89</v>
      </c>
      <c r="AB12" t="s">
        <v>132</v>
      </c>
      <c r="AC12" t="str">
        <f t="shared" si="2"/>
        <v>RURAL</v>
      </c>
      <c r="AD12" t="s">
        <v>133</v>
      </c>
      <c r="AE12">
        <v>9012</v>
      </c>
      <c r="AF12" t="s">
        <v>134</v>
      </c>
      <c r="AG12">
        <v>14200</v>
      </c>
      <c r="AH12" t="s">
        <v>71</v>
      </c>
      <c r="AI12" t="s">
        <v>48</v>
      </c>
      <c r="AJ12">
        <v>2025</v>
      </c>
      <c r="AK12" t="s">
        <v>135</v>
      </c>
    </row>
    <row r="13" spans="1:37" x14ac:dyDescent="0.3">
      <c r="B13">
        <f t="shared" si="0"/>
        <v>2</v>
      </c>
      <c r="C13" t="s">
        <v>50</v>
      </c>
      <c r="D13" t="s">
        <v>89</v>
      </c>
      <c r="E13">
        <v>497</v>
      </c>
      <c r="F13" t="s">
        <v>136</v>
      </c>
      <c r="G13" t="s">
        <v>90</v>
      </c>
      <c r="H13" t="s">
        <v>137</v>
      </c>
      <c r="I13">
        <v>2025</v>
      </c>
      <c r="J13">
        <v>1</v>
      </c>
      <c r="K13">
        <v>0</v>
      </c>
      <c r="L13">
        <v>0</v>
      </c>
      <c r="M13" t="s">
        <v>39</v>
      </c>
      <c r="N13" t="s">
        <v>40</v>
      </c>
      <c r="O13">
        <f t="shared" si="1"/>
        <v>1</v>
      </c>
      <c r="Q13" t="s">
        <v>138</v>
      </c>
      <c r="R13" t="s">
        <v>139</v>
      </c>
      <c r="S13" t="s">
        <v>43</v>
      </c>
      <c r="U13">
        <v>2</v>
      </c>
      <c r="V13">
        <v>0</v>
      </c>
      <c r="W13" t="s">
        <v>44</v>
      </c>
      <c r="X13" t="s">
        <v>95</v>
      </c>
      <c r="Y13">
        <v>0</v>
      </c>
      <c r="Z13" t="s">
        <v>95</v>
      </c>
      <c r="AB13">
        <v>500</v>
      </c>
      <c r="AC13" t="str">
        <f t="shared" si="2"/>
        <v>URBAN</v>
      </c>
      <c r="AD13" t="s">
        <v>46</v>
      </c>
      <c r="AE13">
        <v>8081</v>
      </c>
      <c r="AG13">
        <v>0</v>
      </c>
      <c r="AH13" t="s">
        <v>89</v>
      </c>
      <c r="AI13" t="s">
        <v>48</v>
      </c>
      <c r="AJ13">
        <v>1958</v>
      </c>
      <c r="AK13" t="s">
        <v>140</v>
      </c>
    </row>
    <row r="14" spans="1:37" x14ac:dyDescent="0.3">
      <c r="B14">
        <f t="shared" si="0"/>
        <v>9</v>
      </c>
      <c r="C14" t="s">
        <v>141</v>
      </c>
      <c r="D14" t="s">
        <v>142</v>
      </c>
      <c r="E14">
        <v>948</v>
      </c>
      <c r="F14" t="s">
        <v>143</v>
      </c>
      <c r="G14" t="s">
        <v>37</v>
      </c>
      <c r="H14" t="s">
        <v>144</v>
      </c>
      <c r="I14">
        <v>2025</v>
      </c>
      <c r="J14">
        <v>4</v>
      </c>
      <c r="K14">
        <v>0</v>
      </c>
      <c r="L14">
        <v>0</v>
      </c>
      <c r="M14" t="s">
        <v>39</v>
      </c>
      <c r="N14" t="s">
        <v>40</v>
      </c>
      <c r="O14">
        <f t="shared" si="1"/>
        <v>1</v>
      </c>
      <c r="Q14" t="s">
        <v>145</v>
      </c>
      <c r="R14" t="s">
        <v>146</v>
      </c>
      <c r="S14" t="s">
        <v>43</v>
      </c>
      <c r="U14">
        <v>2</v>
      </c>
      <c r="V14">
        <v>2</v>
      </c>
      <c r="W14" t="s">
        <v>55</v>
      </c>
      <c r="X14" t="s">
        <v>95</v>
      </c>
      <c r="Y14">
        <v>0</v>
      </c>
      <c r="Z14" t="s">
        <v>95</v>
      </c>
      <c r="AC14" t="str">
        <f t="shared" si="2"/>
        <v>URBAN</v>
      </c>
      <c r="AD14" t="s">
        <v>147</v>
      </c>
      <c r="AE14">
        <v>820</v>
      </c>
      <c r="AG14">
        <v>0</v>
      </c>
      <c r="AH14" t="s">
        <v>47</v>
      </c>
      <c r="AI14" t="s">
        <v>48</v>
      </c>
      <c r="AJ14">
        <v>1958</v>
      </c>
      <c r="AK14" t="s">
        <v>148</v>
      </c>
    </row>
    <row r="15" spans="1:37" x14ac:dyDescent="0.3">
      <c r="B15">
        <f t="shared" si="0"/>
        <v>7</v>
      </c>
      <c r="C15" t="s">
        <v>115</v>
      </c>
      <c r="D15" t="s">
        <v>149</v>
      </c>
      <c r="E15">
        <v>0</v>
      </c>
      <c r="G15" t="s">
        <v>150</v>
      </c>
      <c r="I15">
        <v>2025</v>
      </c>
      <c r="J15">
        <v>3</v>
      </c>
      <c r="K15">
        <v>29000</v>
      </c>
      <c r="L15">
        <v>2380</v>
      </c>
      <c r="M15" t="s">
        <v>129</v>
      </c>
      <c r="N15" t="s">
        <v>151</v>
      </c>
      <c r="O15">
        <f t="shared" si="1"/>
        <v>4</v>
      </c>
      <c r="P15" t="s">
        <v>152</v>
      </c>
      <c r="Q15" t="s">
        <v>153</v>
      </c>
      <c r="R15" t="s">
        <v>154</v>
      </c>
      <c r="U15">
        <v>4</v>
      </c>
      <c r="V15">
        <v>0</v>
      </c>
      <c r="W15" t="s">
        <v>155</v>
      </c>
      <c r="X15" t="s">
        <v>156</v>
      </c>
      <c r="Y15">
        <v>0</v>
      </c>
      <c r="AA15" t="s">
        <v>157</v>
      </c>
      <c r="AB15" t="s">
        <v>158</v>
      </c>
      <c r="AC15" t="str">
        <f t="shared" si="2"/>
        <v>RURAL</v>
      </c>
      <c r="AD15" t="s">
        <v>159</v>
      </c>
      <c r="AE15">
        <v>9781</v>
      </c>
      <c r="AG15">
        <v>27000</v>
      </c>
      <c r="AH15" t="s">
        <v>160</v>
      </c>
      <c r="AI15" t="s">
        <v>161</v>
      </c>
      <c r="AJ15">
        <v>2025</v>
      </c>
      <c r="AK15" t="s">
        <v>162</v>
      </c>
    </row>
    <row r="16" spans="1:37" x14ac:dyDescent="0.3">
      <c r="B16">
        <f t="shared" si="0"/>
        <v>1</v>
      </c>
      <c r="C16" t="s">
        <v>34</v>
      </c>
      <c r="D16" t="s">
        <v>149</v>
      </c>
      <c r="E16">
        <v>0</v>
      </c>
      <c r="F16">
        <v>60603</v>
      </c>
      <c r="G16" t="s">
        <v>150</v>
      </c>
      <c r="I16">
        <v>2025</v>
      </c>
      <c r="J16">
        <v>1</v>
      </c>
      <c r="K16">
        <v>27000</v>
      </c>
      <c r="L16">
        <v>3200</v>
      </c>
      <c r="M16" t="s">
        <v>39</v>
      </c>
      <c r="N16" t="s">
        <v>151</v>
      </c>
      <c r="O16">
        <f t="shared" si="1"/>
        <v>4</v>
      </c>
      <c r="Q16" t="s">
        <v>163</v>
      </c>
      <c r="R16" t="s">
        <v>164</v>
      </c>
      <c r="U16">
        <v>4</v>
      </c>
      <c r="V16">
        <v>0</v>
      </c>
      <c r="W16" t="s">
        <v>155</v>
      </c>
      <c r="X16" t="s">
        <v>156</v>
      </c>
      <c r="Y16">
        <v>0</v>
      </c>
      <c r="Z16" t="s">
        <v>156</v>
      </c>
      <c r="AA16" t="s">
        <v>165</v>
      </c>
      <c r="AC16" t="str">
        <f t="shared" si="2"/>
        <v>RURAL</v>
      </c>
      <c r="AD16" t="s">
        <v>166</v>
      </c>
      <c r="AE16">
        <v>4110</v>
      </c>
      <c r="AG16">
        <v>28000</v>
      </c>
      <c r="AH16" t="s">
        <v>160</v>
      </c>
      <c r="AI16" t="s">
        <v>86</v>
      </c>
      <c r="AJ16">
        <v>2006</v>
      </c>
      <c r="AK16" t="s">
        <v>167</v>
      </c>
    </row>
    <row r="17" spans="2:37" x14ac:dyDescent="0.3">
      <c r="B17">
        <f t="shared" si="0"/>
        <v>3</v>
      </c>
      <c r="C17" t="s">
        <v>60</v>
      </c>
      <c r="D17" t="s">
        <v>61</v>
      </c>
      <c r="E17">
        <v>14190</v>
      </c>
      <c r="F17" t="s">
        <v>168</v>
      </c>
      <c r="G17" t="s">
        <v>169</v>
      </c>
      <c r="H17">
        <v>5554033</v>
      </c>
      <c r="I17">
        <v>2024</v>
      </c>
      <c r="J17">
        <v>11</v>
      </c>
      <c r="K17">
        <v>25800</v>
      </c>
      <c r="L17">
        <v>4230</v>
      </c>
      <c r="M17" t="s">
        <v>39</v>
      </c>
      <c r="N17" t="s">
        <v>170</v>
      </c>
      <c r="O17">
        <f t="shared" si="1"/>
        <v>5</v>
      </c>
      <c r="Q17" t="s">
        <v>171</v>
      </c>
      <c r="R17" t="s">
        <v>172</v>
      </c>
      <c r="S17" t="s">
        <v>68</v>
      </c>
      <c r="U17">
        <v>4</v>
      </c>
      <c r="V17">
        <v>2</v>
      </c>
      <c r="W17" t="s">
        <v>55</v>
      </c>
      <c r="X17" t="s">
        <v>173</v>
      </c>
      <c r="Y17">
        <v>0</v>
      </c>
      <c r="Z17" t="s">
        <v>174</v>
      </c>
      <c r="AC17" t="str">
        <f t="shared" si="2"/>
        <v>URBAN</v>
      </c>
      <c r="AD17" t="s">
        <v>147</v>
      </c>
      <c r="AE17">
        <v>632</v>
      </c>
      <c r="AG17">
        <v>25800</v>
      </c>
      <c r="AH17" t="s">
        <v>71</v>
      </c>
      <c r="AI17" t="s">
        <v>161</v>
      </c>
      <c r="AJ17">
        <v>1994</v>
      </c>
      <c r="AK17" t="s">
        <v>175</v>
      </c>
    </row>
    <row r="18" spans="2:37" x14ac:dyDescent="0.3">
      <c r="B18">
        <f t="shared" si="0"/>
        <v>3</v>
      </c>
      <c r="C18" t="s">
        <v>60</v>
      </c>
      <c r="D18" t="s">
        <v>176</v>
      </c>
      <c r="E18">
        <v>3290</v>
      </c>
      <c r="F18" t="s">
        <v>177</v>
      </c>
      <c r="G18" t="s">
        <v>63</v>
      </c>
      <c r="H18" t="s">
        <v>178</v>
      </c>
      <c r="I18">
        <v>2024</v>
      </c>
      <c r="J18">
        <v>5</v>
      </c>
      <c r="K18">
        <v>5500</v>
      </c>
      <c r="L18">
        <v>2970</v>
      </c>
      <c r="M18" t="s">
        <v>39</v>
      </c>
      <c r="N18" t="s">
        <v>40</v>
      </c>
      <c r="O18">
        <f t="shared" si="1"/>
        <v>1</v>
      </c>
      <c r="P18" t="s">
        <v>179</v>
      </c>
      <c r="Q18" t="s">
        <v>130</v>
      </c>
      <c r="R18" t="s">
        <v>180</v>
      </c>
      <c r="S18" t="s">
        <v>68</v>
      </c>
      <c r="U18">
        <v>2</v>
      </c>
      <c r="V18">
        <v>2</v>
      </c>
      <c r="W18" t="s">
        <v>44</v>
      </c>
      <c r="X18" t="s">
        <v>69</v>
      </c>
      <c r="Y18">
        <v>0</v>
      </c>
      <c r="Z18" t="s">
        <v>69</v>
      </c>
      <c r="AC18" t="str">
        <f t="shared" si="2"/>
        <v>RURAL</v>
      </c>
      <c r="AD18" t="s">
        <v>181</v>
      </c>
      <c r="AE18">
        <v>7011</v>
      </c>
      <c r="AG18">
        <v>14200</v>
      </c>
      <c r="AH18" t="s">
        <v>182</v>
      </c>
      <c r="AI18" t="s">
        <v>48</v>
      </c>
      <c r="AJ18">
        <v>1987</v>
      </c>
      <c r="AK18" t="s">
        <v>183</v>
      </c>
    </row>
    <row r="19" spans="2:37" x14ac:dyDescent="0.3">
      <c r="B19">
        <f t="shared" si="0"/>
        <v>10</v>
      </c>
      <c r="C19" t="s">
        <v>184</v>
      </c>
      <c r="D19" t="s">
        <v>142</v>
      </c>
      <c r="E19">
        <v>7210</v>
      </c>
      <c r="F19" t="s">
        <v>185</v>
      </c>
      <c r="G19" t="s">
        <v>37</v>
      </c>
      <c r="H19" t="s">
        <v>186</v>
      </c>
      <c r="I19">
        <v>2024</v>
      </c>
      <c r="J19">
        <v>4</v>
      </c>
      <c r="K19">
        <v>2082</v>
      </c>
      <c r="L19">
        <v>0</v>
      </c>
      <c r="M19" t="s">
        <v>39</v>
      </c>
      <c r="N19" t="s">
        <v>40</v>
      </c>
      <c r="O19">
        <f t="shared" si="1"/>
        <v>1</v>
      </c>
      <c r="Q19" t="s">
        <v>187</v>
      </c>
      <c r="R19" t="s">
        <v>188</v>
      </c>
      <c r="S19" t="s">
        <v>43</v>
      </c>
      <c r="U19">
        <v>2</v>
      </c>
      <c r="V19">
        <v>5</v>
      </c>
      <c r="W19" t="s">
        <v>44</v>
      </c>
      <c r="X19" t="s">
        <v>45</v>
      </c>
      <c r="Y19">
        <v>0</v>
      </c>
      <c r="Z19" t="s">
        <v>45</v>
      </c>
      <c r="AB19" t="s">
        <v>189</v>
      </c>
      <c r="AC19" t="str">
        <f t="shared" si="2"/>
        <v>RURAL</v>
      </c>
      <c r="AD19" t="s">
        <v>190</v>
      </c>
      <c r="AE19">
        <v>5018</v>
      </c>
      <c r="AG19">
        <v>0</v>
      </c>
      <c r="AH19" t="s">
        <v>47</v>
      </c>
      <c r="AI19" t="s">
        <v>48</v>
      </c>
      <c r="AJ19">
        <v>1970</v>
      </c>
      <c r="AK19" t="s">
        <v>191</v>
      </c>
    </row>
    <row r="20" spans="2:37" x14ac:dyDescent="0.3">
      <c r="B20">
        <f t="shared" si="0"/>
        <v>7</v>
      </c>
      <c r="C20" t="s">
        <v>115</v>
      </c>
      <c r="D20" t="s">
        <v>89</v>
      </c>
      <c r="E20">
        <v>850</v>
      </c>
      <c r="F20">
        <v>307445</v>
      </c>
      <c r="G20" t="s">
        <v>90</v>
      </c>
      <c r="H20">
        <v>307445</v>
      </c>
      <c r="I20">
        <v>2024</v>
      </c>
      <c r="J20">
        <v>3</v>
      </c>
      <c r="K20">
        <v>0</v>
      </c>
      <c r="L20">
        <v>0</v>
      </c>
      <c r="M20" t="s">
        <v>39</v>
      </c>
      <c r="N20" t="s">
        <v>40</v>
      </c>
      <c r="O20">
        <f t="shared" si="1"/>
        <v>1</v>
      </c>
      <c r="Q20" t="s">
        <v>192</v>
      </c>
      <c r="R20" t="s">
        <v>193</v>
      </c>
      <c r="S20" t="s">
        <v>43</v>
      </c>
      <c r="U20">
        <v>0</v>
      </c>
      <c r="V20">
        <v>0</v>
      </c>
      <c r="W20" t="s">
        <v>44</v>
      </c>
      <c r="X20" t="s">
        <v>95</v>
      </c>
      <c r="Y20">
        <v>0</v>
      </c>
      <c r="Z20" t="s">
        <v>45</v>
      </c>
      <c r="AC20" t="str">
        <f t="shared" si="2"/>
        <v>RURAL</v>
      </c>
      <c r="AD20" t="s">
        <v>107</v>
      </c>
      <c r="AE20">
        <v>9874</v>
      </c>
      <c r="AG20">
        <v>0</v>
      </c>
      <c r="AH20" t="s">
        <v>89</v>
      </c>
      <c r="AI20" t="s">
        <v>48</v>
      </c>
      <c r="AJ20">
        <v>1973</v>
      </c>
      <c r="AK20" t="s">
        <v>194</v>
      </c>
    </row>
    <row r="21" spans="2:37" x14ac:dyDescent="0.3">
      <c r="B21">
        <f t="shared" si="0"/>
        <v>1</v>
      </c>
      <c r="C21" t="s">
        <v>34</v>
      </c>
      <c r="D21" t="s">
        <v>176</v>
      </c>
      <c r="E21">
        <v>4160</v>
      </c>
      <c r="F21" t="s">
        <v>195</v>
      </c>
      <c r="G21" t="s">
        <v>63</v>
      </c>
      <c r="H21" t="s">
        <v>196</v>
      </c>
      <c r="I21">
        <v>2024</v>
      </c>
      <c r="J21">
        <v>1</v>
      </c>
      <c r="K21">
        <v>5350</v>
      </c>
      <c r="L21">
        <v>2600</v>
      </c>
      <c r="M21" t="s">
        <v>39</v>
      </c>
      <c r="N21" t="s">
        <v>40</v>
      </c>
      <c r="O21">
        <f t="shared" si="1"/>
        <v>1</v>
      </c>
      <c r="Q21" t="s">
        <v>83</v>
      </c>
      <c r="R21" t="s">
        <v>197</v>
      </c>
      <c r="S21" t="s">
        <v>68</v>
      </c>
      <c r="U21">
        <v>2</v>
      </c>
      <c r="V21">
        <v>2</v>
      </c>
      <c r="W21" t="s">
        <v>44</v>
      </c>
      <c r="X21" t="s">
        <v>69</v>
      </c>
      <c r="Y21">
        <v>0</v>
      </c>
      <c r="Z21" t="s">
        <v>69</v>
      </c>
      <c r="AC21" t="str">
        <f t="shared" si="2"/>
        <v>URBAN</v>
      </c>
      <c r="AD21" t="s">
        <v>46</v>
      </c>
      <c r="AE21">
        <v>8023</v>
      </c>
      <c r="AG21">
        <v>14200</v>
      </c>
      <c r="AH21" t="s">
        <v>182</v>
      </c>
      <c r="AI21" t="s">
        <v>48</v>
      </c>
      <c r="AJ21">
        <v>1990</v>
      </c>
      <c r="AK21" t="s">
        <v>198</v>
      </c>
    </row>
    <row r="22" spans="2:37" x14ac:dyDescent="0.3">
      <c r="B22">
        <f t="shared" si="0"/>
        <v>2</v>
      </c>
      <c r="C22" t="s">
        <v>50</v>
      </c>
      <c r="D22" t="s">
        <v>149</v>
      </c>
      <c r="E22">
        <v>0</v>
      </c>
      <c r="G22" t="s">
        <v>150</v>
      </c>
      <c r="I22">
        <v>2024</v>
      </c>
      <c r="J22">
        <v>12</v>
      </c>
      <c r="K22">
        <v>26000</v>
      </c>
      <c r="L22">
        <v>2670</v>
      </c>
      <c r="M22" t="s">
        <v>39</v>
      </c>
      <c r="N22" t="s">
        <v>151</v>
      </c>
      <c r="O22">
        <f t="shared" si="1"/>
        <v>4</v>
      </c>
      <c r="Q22" t="s">
        <v>199</v>
      </c>
      <c r="R22" t="s">
        <v>200</v>
      </c>
      <c r="U22">
        <v>4</v>
      </c>
      <c r="V22">
        <v>0</v>
      </c>
      <c r="W22" t="s">
        <v>155</v>
      </c>
      <c r="X22" t="s">
        <v>156</v>
      </c>
      <c r="Y22">
        <v>0</v>
      </c>
      <c r="Z22" t="s">
        <v>156</v>
      </c>
      <c r="AA22" t="s">
        <v>201</v>
      </c>
      <c r="AC22" t="str">
        <f t="shared" si="2"/>
        <v>RURAL</v>
      </c>
      <c r="AD22" t="s">
        <v>202</v>
      </c>
      <c r="AE22">
        <v>3300</v>
      </c>
      <c r="AG22">
        <v>27000</v>
      </c>
      <c r="AH22" t="s">
        <v>160</v>
      </c>
      <c r="AI22" t="s">
        <v>161</v>
      </c>
      <c r="AJ22">
        <v>2002</v>
      </c>
      <c r="AK22" t="s">
        <v>203</v>
      </c>
    </row>
    <row r="23" spans="2:37" x14ac:dyDescent="0.3">
      <c r="B23">
        <f t="shared" si="0"/>
        <v>1</v>
      </c>
      <c r="C23" t="s">
        <v>34</v>
      </c>
      <c r="D23" t="s">
        <v>89</v>
      </c>
      <c r="E23">
        <v>250</v>
      </c>
      <c r="F23" t="s">
        <v>204</v>
      </c>
      <c r="G23" t="s">
        <v>90</v>
      </c>
      <c r="H23" t="s">
        <v>205</v>
      </c>
      <c r="I23">
        <v>2024</v>
      </c>
      <c r="J23">
        <v>4</v>
      </c>
      <c r="K23">
        <v>0</v>
      </c>
      <c r="L23">
        <v>0</v>
      </c>
      <c r="M23" t="s">
        <v>39</v>
      </c>
      <c r="N23" t="s">
        <v>40</v>
      </c>
      <c r="O23">
        <f t="shared" si="1"/>
        <v>1</v>
      </c>
      <c r="Q23" t="s">
        <v>206</v>
      </c>
      <c r="R23" t="s">
        <v>207</v>
      </c>
      <c r="S23" t="s">
        <v>43</v>
      </c>
      <c r="T23" t="s">
        <v>208</v>
      </c>
      <c r="U23">
        <v>0</v>
      </c>
      <c r="V23">
        <v>0</v>
      </c>
      <c r="W23" t="s">
        <v>155</v>
      </c>
      <c r="X23" t="s">
        <v>69</v>
      </c>
      <c r="Y23">
        <v>23</v>
      </c>
      <c r="Z23" t="s">
        <v>69</v>
      </c>
      <c r="AB23">
        <v>250</v>
      </c>
      <c r="AC23" t="str">
        <f t="shared" si="2"/>
        <v>RURAL</v>
      </c>
      <c r="AD23" t="s">
        <v>209</v>
      </c>
      <c r="AE23">
        <v>4010</v>
      </c>
      <c r="AG23">
        <v>0</v>
      </c>
      <c r="AH23" t="s">
        <v>89</v>
      </c>
      <c r="AI23" t="s">
        <v>48</v>
      </c>
      <c r="AJ23">
        <v>2001</v>
      </c>
      <c r="AK23" t="s">
        <v>210</v>
      </c>
    </row>
    <row r="24" spans="2:37" x14ac:dyDescent="0.3">
      <c r="B24">
        <f t="shared" si="0"/>
        <v>1</v>
      </c>
      <c r="C24" t="s">
        <v>34</v>
      </c>
      <c r="D24" t="s">
        <v>89</v>
      </c>
      <c r="E24">
        <v>750</v>
      </c>
      <c r="F24" t="s">
        <v>211</v>
      </c>
      <c r="G24" t="s">
        <v>90</v>
      </c>
      <c r="H24" t="s">
        <v>212</v>
      </c>
      <c r="I24">
        <v>2024</v>
      </c>
      <c r="J24">
        <v>2</v>
      </c>
      <c r="K24">
        <v>0</v>
      </c>
      <c r="L24">
        <v>0</v>
      </c>
      <c r="M24" t="s">
        <v>39</v>
      </c>
      <c r="N24" t="s">
        <v>40</v>
      </c>
      <c r="O24">
        <f t="shared" si="1"/>
        <v>1</v>
      </c>
      <c r="Q24" t="s">
        <v>213</v>
      </c>
      <c r="R24" t="s">
        <v>214</v>
      </c>
      <c r="S24" t="s">
        <v>43</v>
      </c>
      <c r="U24">
        <v>0</v>
      </c>
      <c r="V24">
        <v>0</v>
      </c>
      <c r="W24" t="s">
        <v>44</v>
      </c>
      <c r="X24" t="s">
        <v>95</v>
      </c>
      <c r="Y24">
        <v>0</v>
      </c>
      <c r="Z24" t="s">
        <v>104</v>
      </c>
      <c r="AC24" t="str">
        <f t="shared" si="2"/>
        <v>URBAN</v>
      </c>
      <c r="AD24" t="s">
        <v>215</v>
      </c>
      <c r="AE24">
        <v>3290</v>
      </c>
      <c r="AG24">
        <v>0</v>
      </c>
      <c r="AH24" t="s">
        <v>89</v>
      </c>
      <c r="AI24" t="s">
        <v>48</v>
      </c>
      <c r="AJ24">
        <v>1973</v>
      </c>
      <c r="AK24" t="s">
        <v>216</v>
      </c>
    </row>
    <row r="25" spans="2:37" x14ac:dyDescent="0.3">
      <c r="B25">
        <f t="shared" si="0"/>
        <v>3</v>
      </c>
      <c r="C25" t="s">
        <v>60</v>
      </c>
      <c r="D25" t="s">
        <v>61</v>
      </c>
      <c r="E25">
        <v>11946</v>
      </c>
      <c r="F25" t="s">
        <v>217</v>
      </c>
      <c r="G25" t="s">
        <v>169</v>
      </c>
      <c r="H25">
        <v>54194800363089</v>
      </c>
      <c r="I25">
        <v>2024</v>
      </c>
      <c r="J25">
        <v>3</v>
      </c>
      <c r="K25">
        <v>31600</v>
      </c>
      <c r="L25">
        <v>3300</v>
      </c>
      <c r="M25" t="s">
        <v>129</v>
      </c>
      <c r="N25" t="s">
        <v>218</v>
      </c>
      <c r="O25">
        <f t="shared" si="1"/>
        <v>3</v>
      </c>
      <c r="Q25" t="s">
        <v>219</v>
      </c>
      <c r="R25" t="s">
        <v>220</v>
      </c>
      <c r="S25" t="s">
        <v>68</v>
      </c>
      <c r="T25">
        <v>93024446</v>
      </c>
      <c r="U25">
        <v>4</v>
      </c>
      <c r="V25">
        <v>2</v>
      </c>
      <c r="W25" t="s">
        <v>44</v>
      </c>
      <c r="X25" t="s">
        <v>221</v>
      </c>
      <c r="Y25">
        <v>335</v>
      </c>
      <c r="AA25" t="s">
        <v>222</v>
      </c>
      <c r="AB25" t="s">
        <v>223</v>
      </c>
      <c r="AC25" t="str">
        <f t="shared" si="2"/>
        <v>RURAL</v>
      </c>
      <c r="AD25" t="s">
        <v>224</v>
      </c>
      <c r="AE25">
        <v>3119</v>
      </c>
      <c r="AF25" t="s">
        <v>225</v>
      </c>
      <c r="AG25">
        <v>25800</v>
      </c>
      <c r="AH25" t="s">
        <v>71</v>
      </c>
      <c r="AI25" t="s">
        <v>86</v>
      </c>
      <c r="AJ25">
        <v>2024</v>
      </c>
      <c r="AK25" t="s">
        <v>226</v>
      </c>
    </row>
    <row r="26" spans="2:37" x14ac:dyDescent="0.3">
      <c r="B26">
        <f t="shared" si="0"/>
        <v>6</v>
      </c>
      <c r="C26" t="s">
        <v>109</v>
      </c>
      <c r="D26" t="s">
        <v>89</v>
      </c>
      <c r="E26">
        <v>525</v>
      </c>
      <c r="G26" t="s">
        <v>90</v>
      </c>
      <c r="H26">
        <v>759035303</v>
      </c>
      <c r="I26">
        <v>2024</v>
      </c>
      <c r="J26">
        <v>11</v>
      </c>
      <c r="K26">
        <v>0</v>
      </c>
      <c r="L26">
        <v>0</v>
      </c>
      <c r="M26" t="s">
        <v>39</v>
      </c>
      <c r="N26" t="s">
        <v>40</v>
      </c>
      <c r="O26">
        <f t="shared" si="1"/>
        <v>1</v>
      </c>
      <c r="Q26" t="s">
        <v>227</v>
      </c>
      <c r="R26" t="s">
        <v>228</v>
      </c>
      <c r="S26" t="s">
        <v>43</v>
      </c>
      <c r="U26">
        <v>0</v>
      </c>
      <c r="V26">
        <v>0</v>
      </c>
      <c r="W26" t="s">
        <v>44</v>
      </c>
      <c r="X26" t="s">
        <v>229</v>
      </c>
      <c r="Y26">
        <v>0</v>
      </c>
      <c r="Z26" t="s">
        <v>230</v>
      </c>
      <c r="AB26" t="s">
        <v>231</v>
      </c>
      <c r="AC26" t="str">
        <f t="shared" si="2"/>
        <v>RURAL</v>
      </c>
      <c r="AD26" t="s">
        <v>232</v>
      </c>
      <c r="AE26">
        <v>9401</v>
      </c>
      <c r="AG26">
        <v>0</v>
      </c>
      <c r="AH26" t="s">
        <v>89</v>
      </c>
      <c r="AI26" t="s">
        <v>48</v>
      </c>
      <c r="AJ26">
        <v>2006</v>
      </c>
      <c r="AK26" t="s">
        <v>233</v>
      </c>
    </row>
    <row r="27" spans="2:37" x14ac:dyDescent="0.3">
      <c r="B27">
        <f t="shared" si="0"/>
        <v>7</v>
      </c>
      <c r="C27" t="s">
        <v>115</v>
      </c>
      <c r="D27" t="s">
        <v>234</v>
      </c>
      <c r="E27">
        <v>1712</v>
      </c>
      <c r="G27" t="s">
        <v>37</v>
      </c>
      <c r="H27" t="s">
        <v>38</v>
      </c>
      <c r="I27">
        <v>2024</v>
      </c>
      <c r="J27">
        <v>8</v>
      </c>
      <c r="K27">
        <v>1335</v>
      </c>
      <c r="L27">
        <v>0</v>
      </c>
      <c r="M27" t="s">
        <v>39</v>
      </c>
      <c r="N27" t="s">
        <v>40</v>
      </c>
      <c r="O27">
        <f t="shared" si="1"/>
        <v>1</v>
      </c>
      <c r="P27" t="s">
        <v>235</v>
      </c>
      <c r="Q27" t="s">
        <v>236</v>
      </c>
      <c r="R27">
        <v>33</v>
      </c>
      <c r="S27" t="s">
        <v>43</v>
      </c>
      <c r="U27">
        <v>2</v>
      </c>
      <c r="V27">
        <v>5</v>
      </c>
      <c r="W27" t="s">
        <v>44</v>
      </c>
      <c r="X27" t="s">
        <v>237</v>
      </c>
      <c r="Y27">
        <v>0</v>
      </c>
      <c r="Z27" t="s">
        <v>95</v>
      </c>
      <c r="AB27" t="s">
        <v>238</v>
      </c>
      <c r="AC27" t="str">
        <f t="shared" si="2"/>
        <v>RURAL</v>
      </c>
      <c r="AD27" t="s">
        <v>239</v>
      </c>
      <c r="AE27">
        <v>7005</v>
      </c>
      <c r="AG27">
        <v>0</v>
      </c>
      <c r="AH27" t="s">
        <v>47</v>
      </c>
      <c r="AI27" t="s">
        <v>48</v>
      </c>
      <c r="AJ27">
        <v>1989</v>
      </c>
      <c r="AK27" t="s">
        <v>240</v>
      </c>
    </row>
    <row r="28" spans="2:37" x14ac:dyDescent="0.3">
      <c r="B28">
        <f t="shared" si="0"/>
        <v>11</v>
      </c>
      <c r="C28" t="s">
        <v>241</v>
      </c>
      <c r="D28" t="s">
        <v>242</v>
      </c>
      <c r="E28">
        <v>7030</v>
      </c>
      <c r="F28" t="s">
        <v>243</v>
      </c>
      <c r="G28" t="s">
        <v>117</v>
      </c>
      <c r="H28" t="s">
        <v>244</v>
      </c>
      <c r="I28">
        <v>2024</v>
      </c>
      <c r="J28">
        <v>12</v>
      </c>
      <c r="K28">
        <v>1810</v>
      </c>
      <c r="L28">
        <v>0</v>
      </c>
      <c r="M28" t="s">
        <v>39</v>
      </c>
      <c r="N28" t="s">
        <v>40</v>
      </c>
      <c r="O28">
        <f t="shared" si="1"/>
        <v>1</v>
      </c>
      <c r="Q28" t="s">
        <v>102</v>
      </c>
      <c r="R28" t="s">
        <v>245</v>
      </c>
      <c r="S28" t="s">
        <v>43</v>
      </c>
      <c r="U28">
        <v>2</v>
      </c>
      <c r="V28">
        <v>3</v>
      </c>
      <c r="W28" t="s">
        <v>44</v>
      </c>
      <c r="X28" t="s">
        <v>45</v>
      </c>
      <c r="Y28">
        <v>0</v>
      </c>
      <c r="Z28" t="s">
        <v>45</v>
      </c>
      <c r="AC28" t="str">
        <f t="shared" si="2"/>
        <v>RURAL</v>
      </c>
      <c r="AD28" t="s">
        <v>246</v>
      </c>
      <c r="AE28">
        <v>4310</v>
      </c>
      <c r="AG28">
        <v>0</v>
      </c>
      <c r="AH28" t="s">
        <v>71</v>
      </c>
      <c r="AI28" t="s">
        <v>48</v>
      </c>
      <c r="AJ28">
        <v>1977</v>
      </c>
      <c r="AK28" t="s">
        <v>247</v>
      </c>
    </row>
    <row r="29" spans="2:37" x14ac:dyDescent="0.3">
      <c r="B29">
        <f t="shared" si="0"/>
        <v>11</v>
      </c>
      <c r="C29" t="s">
        <v>241</v>
      </c>
      <c r="D29" t="s">
        <v>242</v>
      </c>
      <c r="E29">
        <v>5002</v>
      </c>
      <c r="G29" t="s">
        <v>117</v>
      </c>
      <c r="H29" t="s">
        <v>248</v>
      </c>
      <c r="I29">
        <v>2024</v>
      </c>
      <c r="J29">
        <v>12</v>
      </c>
      <c r="K29">
        <v>2267</v>
      </c>
      <c r="L29">
        <v>0</v>
      </c>
      <c r="M29" t="s">
        <v>39</v>
      </c>
      <c r="N29" t="s">
        <v>40</v>
      </c>
      <c r="O29">
        <f t="shared" si="1"/>
        <v>1</v>
      </c>
      <c r="Q29" t="s">
        <v>249</v>
      </c>
      <c r="R29" t="s">
        <v>250</v>
      </c>
      <c r="S29" t="s">
        <v>43</v>
      </c>
      <c r="U29">
        <v>2</v>
      </c>
      <c r="V29">
        <v>3</v>
      </c>
      <c r="W29" t="s">
        <v>44</v>
      </c>
      <c r="X29" t="s">
        <v>45</v>
      </c>
      <c r="Y29">
        <v>0</v>
      </c>
      <c r="Z29" t="s">
        <v>45</v>
      </c>
      <c r="AC29" t="str">
        <f t="shared" si="2"/>
        <v>RURAL</v>
      </c>
      <c r="AD29" t="s">
        <v>133</v>
      </c>
      <c r="AE29">
        <v>9010</v>
      </c>
      <c r="AG29">
        <v>0</v>
      </c>
      <c r="AH29" t="s">
        <v>71</v>
      </c>
      <c r="AI29" t="s">
        <v>48</v>
      </c>
      <c r="AJ29">
        <v>1984</v>
      </c>
      <c r="AK29" t="s">
        <v>251</v>
      </c>
    </row>
    <row r="30" spans="2:37" x14ac:dyDescent="0.3">
      <c r="B30">
        <f t="shared" si="0"/>
        <v>3</v>
      </c>
      <c r="C30" t="s">
        <v>60</v>
      </c>
      <c r="D30" t="s">
        <v>99</v>
      </c>
      <c r="E30">
        <v>5800</v>
      </c>
      <c r="F30" t="s">
        <v>252</v>
      </c>
      <c r="G30" t="s">
        <v>37</v>
      </c>
      <c r="H30" t="s">
        <v>253</v>
      </c>
      <c r="I30">
        <v>2024</v>
      </c>
      <c r="J30">
        <v>8</v>
      </c>
      <c r="K30">
        <v>0</v>
      </c>
      <c r="L30">
        <v>0</v>
      </c>
      <c r="M30" t="s">
        <v>39</v>
      </c>
      <c r="N30" t="s">
        <v>40</v>
      </c>
      <c r="O30">
        <f t="shared" si="1"/>
        <v>1</v>
      </c>
      <c r="Q30" t="s">
        <v>102</v>
      </c>
      <c r="R30" t="s">
        <v>254</v>
      </c>
      <c r="S30" t="s">
        <v>43</v>
      </c>
      <c r="U30">
        <v>2</v>
      </c>
      <c r="V30">
        <v>6</v>
      </c>
      <c r="W30" t="s">
        <v>44</v>
      </c>
      <c r="X30" t="s">
        <v>45</v>
      </c>
      <c r="Y30">
        <v>0</v>
      </c>
      <c r="Z30" t="s">
        <v>45</v>
      </c>
      <c r="AB30">
        <v>500</v>
      </c>
      <c r="AC30" t="str">
        <f t="shared" si="2"/>
        <v>RURAL</v>
      </c>
      <c r="AD30" t="s">
        <v>255</v>
      </c>
      <c r="AE30">
        <v>3782</v>
      </c>
      <c r="AG30">
        <v>0</v>
      </c>
      <c r="AH30" t="s">
        <v>47</v>
      </c>
      <c r="AI30" t="s">
        <v>48</v>
      </c>
      <c r="AJ30">
        <v>1964</v>
      </c>
      <c r="AK30" t="s">
        <v>256</v>
      </c>
    </row>
    <row r="31" spans="2:37" x14ac:dyDescent="0.3">
      <c r="B31">
        <f t="shared" si="0"/>
        <v>3</v>
      </c>
      <c r="C31" t="s">
        <v>60</v>
      </c>
      <c r="D31" t="s">
        <v>61</v>
      </c>
      <c r="E31">
        <v>5200</v>
      </c>
      <c r="F31" t="s">
        <v>257</v>
      </c>
      <c r="G31" t="s">
        <v>117</v>
      </c>
      <c r="H31" t="s">
        <v>38</v>
      </c>
      <c r="I31">
        <v>2024</v>
      </c>
      <c r="J31">
        <v>3</v>
      </c>
      <c r="K31">
        <v>2494</v>
      </c>
      <c r="L31">
        <v>0</v>
      </c>
      <c r="M31" t="s">
        <v>39</v>
      </c>
      <c r="N31" t="s">
        <v>40</v>
      </c>
      <c r="O31">
        <f t="shared" si="1"/>
        <v>1</v>
      </c>
      <c r="P31" t="s">
        <v>235</v>
      </c>
      <c r="Q31" t="s">
        <v>258</v>
      </c>
      <c r="R31" t="s">
        <v>259</v>
      </c>
      <c r="S31" t="s">
        <v>43</v>
      </c>
      <c r="U31">
        <v>2</v>
      </c>
      <c r="V31">
        <v>3</v>
      </c>
      <c r="W31" t="s">
        <v>44</v>
      </c>
      <c r="X31" t="s">
        <v>45</v>
      </c>
      <c r="Y31">
        <v>0</v>
      </c>
      <c r="Z31" t="s">
        <v>45</v>
      </c>
      <c r="AB31">
        <v>1500</v>
      </c>
      <c r="AC31" t="str">
        <f t="shared" si="2"/>
        <v>RURAL</v>
      </c>
      <c r="AD31" t="s">
        <v>255</v>
      </c>
      <c r="AE31">
        <v>3782</v>
      </c>
      <c r="AG31">
        <v>0</v>
      </c>
      <c r="AH31" t="s">
        <v>71</v>
      </c>
      <c r="AI31" t="s">
        <v>48</v>
      </c>
      <c r="AJ31">
        <v>2001</v>
      </c>
      <c r="AK31" t="s">
        <v>260</v>
      </c>
    </row>
    <row r="32" spans="2:37" x14ac:dyDescent="0.3">
      <c r="B32">
        <f t="shared" si="0"/>
        <v>12</v>
      </c>
      <c r="C32" t="s">
        <v>261</v>
      </c>
      <c r="D32" t="s">
        <v>242</v>
      </c>
      <c r="E32">
        <v>4458</v>
      </c>
      <c r="F32" t="s">
        <v>262</v>
      </c>
      <c r="G32" t="s">
        <v>117</v>
      </c>
      <c r="H32" t="s">
        <v>38</v>
      </c>
      <c r="I32">
        <v>2024</v>
      </c>
      <c r="J32">
        <v>6</v>
      </c>
      <c r="K32">
        <v>2750</v>
      </c>
      <c r="L32">
        <v>0</v>
      </c>
      <c r="M32" t="s">
        <v>39</v>
      </c>
      <c r="N32" t="s">
        <v>40</v>
      </c>
      <c r="O32">
        <f t="shared" si="1"/>
        <v>1</v>
      </c>
      <c r="Q32" t="s">
        <v>102</v>
      </c>
      <c r="R32" t="s">
        <v>245</v>
      </c>
      <c r="S32" t="s">
        <v>43</v>
      </c>
      <c r="U32">
        <v>2</v>
      </c>
      <c r="V32">
        <v>2</v>
      </c>
      <c r="W32" t="s">
        <v>44</v>
      </c>
      <c r="X32" t="s">
        <v>45</v>
      </c>
      <c r="Y32">
        <v>0</v>
      </c>
      <c r="Z32" t="s">
        <v>45</v>
      </c>
      <c r="AC32" t="str">
        <f t="shared" si="2"/>
        <v>RURAL</v>
      </c>
      <c r="AD32" t="s">
        <v>255</v>
      </c>
      <c r="AE32">
        <v>2694</v>
      </c>
      <c r="AG32">
        <v>0</v>
      </c>
      <c r="AH32" t="s">
        <v>71</v>
      </c>
      <c r="AI32" t="s">
        <v>48</v>
      </c>
      <c r="AJ32">
        <v>1954</v>
      </c>
      <c r="AK32" t="s">
        <v>247</v>
      </c>
    </row>
    <row r="33" spans="2:37" x14ac:dyDescent="0.3">
      <c r="B33">
        <f t="shared" si="0"/>
        <v>8</v>
      </c>
      <c r="C33" t="s">
        <v>122</v>
      </c>
      <c r="D33" t="s">
        <v>99</v>
      </c>
      <c r="E33">
        <v>2120</v>
      </c>
      <c r="F33" t="s">
        <v>263</v>
      </c>
      <c r="G33" t="s">
        <v>37</v>
      </c>
      <c r="H33" t="s">
        <v>264</v>
      </c>
      <c r="I33">
        <v>2024</v>
      </c>
      <c r="J33">
        <v>12</v>
      </c>
      <c r="K33">
        <v>1745</v>
      </c>
      <c r="L33">
        <v>0</v>
      </c>
      <c r="M33" t="s">
        <v>39</v>
      </c>
      <c r="N33" t="s">
        <v>40</v>
      </c>
      <c r="O33">
        <f t="shared" si="1"/>
        <v>1</v>
      </c>
      <c r="P33" t="s">
        <v>265</v>
      </c>
      <c r="Q33" t="s">
        <v>266</v>
      </c>
      <c r="R33" t="s">
        <v>267</v>
      </c>
      <c r="S33" t="s">
        <v>43</v>
      </c>
      <c r="U33">
        <v>0</v>
      </c>
      <c r="V33">
        <v>5</v>
      </c>
      <c r="W33" t="s">
        <v>44</v>
      </c>
      <c r="X33" t="s">
        <v>69</v>
      </c>
      <c r="Y33">
        <v>0</v>
      </c>
      <c r="Z33" t="s">
        <v>69</v>
      </c>
      <c r="AC33" t="str">
        <f t="shared" si="2"/>
        <v>RURAL</v>
      </c>
      <c r="AD33" t="s">
        <v>268</v>
      </c>
      <c r="AE33">
        <v>4891</v>
      </c>
      <c r="AG33">
        <v>0</v>
      </c>
      <c r="AH33" t="s">
        <v>47</v>
      </c>
      <c r="AI33" t="s">
        <v>48</v>
      </c>
      <c r="AJ33">
        <v>1999</v>
      </c>
      <c r="AK33" t="s">
        <v>269</v>
      </c>
    </row>
    <row r="34" spans="2:37" x14ac:dyDescent="0.3">
      <c r="B34">
        <f t="shared" si="0"/>
        <v>7</v>
      </c>
      <c r="C34" t="s">
        <v>115</v>
      </c>
      <c r="D34" t="s">
        <v>99</v>
      </c>
      <c r="E34">
        <v>7025</v>
      </c>
      <c r="F34" t="s">
        <v>270</v>
      </c>
      <c r="G34" t="s">
        <v>37</v>
      </c>
      <c r="H34">
        <v>1373350</v>
      </c>
      <c r="I34">
        <v>2024</v>
      </c>
      <c r="J34">
        <v>6</v>
      </c>
      <c r="K34">
        <v>0</v>
      </c>
      <c r="L34">
        <v>0</v>
      </c>
      <c r="M34" t="s">
        <v>39</v>
      </c>
      <c r="N34" t="s">
        <v>40</v>
      </c>
      <c r="O34">
        <f t="shared" si="1"/>
        <v>1</v>
      </c>
      <c r="Q34" t="s">
        <v>271</v>
      </c>
      <c r="R34" t="s">
        <v>272</v>
      </c>
      <c r="S34" t="s">
        <v>43</v>
      </c>
      <c r="U34">
        <v>2</v>
      </c>
      <c r="V34">
        <v>4</v>
      </c>
      <c r="W34" t="s">
        <v>44</v>
      </c>
      <c r="X34" t="s">
        <v>45</v>
      </c>
      <c r="Y34">
        <v>0</v>
      </c>
      <c r="Z34" t="s">
        <v>45</v>
      </c>
      <c r="AC34" t="str">
        <f t="shared" si="2"/>
        <v>RURAL</v>
      </c>
      <c r="AD34" t="s">
        <v>181</v>
      </c>
      <c r="AE34">
        <v>7011</v>
      </c>
      <c r="AG34">
        <v>0</v>
      </c>
      <c r="AH34" t="s">
        <v>47</v>
      </c>
      <c r="AI34" t="s">
        <v>48</v>
      </c>
      <c r="AJ34">
        <v>1967</v>
      </c>
      <c r="AK34" t="s">
        <v>273</v>
      </c>
    </row>
    <row r="35" spans="2:37" x14ac:dyDescent="0.3">
      <c r="B35">
        <f t="shared" si="0"/>
        <v>2</v>
      </c>
      <c r="C35" t="s">
        <v>50</v>
      </c>
      <c r="D35" t="s">
        <v>99</v>
      </c>
      <c r="E35">
        <v>6391</v>
      </c>
      <c r="F35" t="s">
        <v>274</v>
      </c>
      <c r="G35" t="s">
        <v>37</v>
      </c>
      <c r="H35" t="s">
        <v>38</v>
      </c>
      <c r="I35">
        <v>2024</v>
      </c>
      <c r="J35">
        <v>5</v>
      </c>
      <c r="K35">
        <v>0</v>
      </c>
      <c r="L35">
        <v>0</v>
      </c>
      <c r="M35" t="s">
        <v>39</v>
      </c>
      <c r="N35" t="s">
        <v>40</v>
      </c>
      <c r="O35">
        <f t="shared" si="1"/>
        <v>1</v>
      </c>
      <c r="Q35" t="s">
        <v>102</v>
      </c>
      <c r="R35" t="s">
        <v>275</v>
      </c>
      <c r="S35" t="s">
        <v>43</v>
      </c>
      <c r="U35">
        <v>2</v>
      </c>
      <c r="V35">
        <v>5</v>
      </c>
      <c r="W35" t="s">
        <v>44</v>
      </c>
      <c r="X35" t="s">
        <v>69</v>
      </c>
      <c r="Y35">
        <v>0</v>
      </c>
      <c r="Z35" t="s">
        <v>45</v>
      </c>
      <c r="AC35" t="str">
        <f t="shared" si="2"/>
        <v>RURAL</v>
      </c>
      <c r="AD35" t="s">
        <v>113</v>
      </c>
      <c r="AE35">
        <v>5381</v>
      </c>
      <c r="AG35">
        <v>0</v>
      </c>
      <c r="AH35" t="s">
        <v>47</v>
      </c>
      <c r="AI35" t="s">
        <v>48</v>
      </c>
      <c r="AJ35">
        <v>1959</v>
      </c>
      <c r="AK35" t="s">
        <v>276</v>
      </c>
    </row>
    <row r="36" spans="2:37" x14ac:dyDescent="0.3">
      <c r="B36">
        <f t="shared" si="0"/>
        <v>1</v>
      </c>
      <c r="C36" t="s">
        <v>34</v>
      </c>
      <c r="D36" t="s">
        <v>89</v>
      </c>
      <c r="E36">
        <v>999</v>
      </c>
      <c r="F36" t="s">
        <v>277</v>
      </c>
      <c r="G36" t="s">
        <v>90</v>
      </c>
      <c r="H36" t="s">
        <v>278</v>
      </c>
      <c r="I36">
        <v>2024</v>
      </c>
      <c r="J36">
        <v>10</v>
      </c>
      <c r="K36">
        <v>0</v>
      </c>
      <c r="L36">
        <v>0</v>
      </c>
      <c r="M36" t="s">
        <v>39</v>
      </c>
      <c r="N36" t="s">
        <v>40</v>
      </c>
      <c r="O36">
        <f t="shared" si="1"/>
        <v>1</v>
      </c>
      <c r="Q36" t="s">
        <v>206</v>
      </c>
      <c r="R36" t="s">
        <v>279</v>
      </c>
      <c r="S36" t="s">
        <v>43</v>
      </c>
      <c r="U36">
        <v>0</v>
      </c>
      <c r="V36">
        <v>0</v>
      </c>
      <c r="W36" t="s">
        <v>44</v>
      </c>
      <c r="X36" t="s">
        <v>69</v>
      </c>
      <c r="Y36">
        <v>0</v>
      </c>
      <c r="Z36" t="s">
        <v>45</v>
      </c>
      <c r="AB36" t="s">
        <v>280</v>
      </c>
      <c r="AC36" t="str">
        <f t="shared" si="2"/>
        <v>RURAL</v>
      </c>
      <c r="AD36" t="s">
        <v>281</v>
      </c>
      <c r="AE36">
        <v>7473</v>
      </c>
      <c r="AG36">
        <v>0</v>
      </c>
      <c r="AH36" t="s">
        <v>89</v>
      </c>
      <c r="AI36" t="s">
        <v>48</v>
      </c>
      <c r="AJ36">
        <v>1975</v>
      </c>
      <c r="AK36" t="s">
        <v>282</v>
      </c>
    </row>
    <row r="37" spans="2:37" x14ac:dyDescent="0.3">
      <c r="B37">
        <f t="shared" si="0"/>
        <v>12</v>
      </c>
      <c r="C37" t="s">
        <v>261</v>
      </c>
      <c r="D37" t="s">
        <v>176</v>
      </c>
      <c r="E37">
        <v>7120</v>
      </c>
      <c r="F37" t="s">
        <v>283</v>
      </c>
      <c r="G37" t="s">
        <v>169</v>
      </c>
      <c r="H37" t="s">
        <v>284</v>
      </c>
      <c r="I37">
        <v>2024</v>
      </c>
      <c r="J37">
        <v>2</v>
      </c>
      <c r="K37">
        <v>14050</v>
      </c>
      <c r="L37">
        <v>3850</v>
      </c>
      <c r="M37" t="s">
        <v>39</v>
      </c>
      <c r="N37" t="s">
        <v>40</v>
      </c>
      <c r="O37">
        <f t="shared" si="1"/>
        <v>1</v>
      </c>
      <c r="P37" t="s">
        <v>285</v>
      </c>
      <c r="Q37" t="s">
        <v>66</v>
      </c>
      <c r="R37" t="s">
        <v>286</v>
      </c>
      <c r="S37" t="s">
        <v>68</v>
      </c>
      <c r="U37">
        <v>2</v>
      </c>
      <c r="V37">
        <v>2</v>
      </c>
      <c r="W37" t="s">
        <v>44</v>
      </c>
      <c r="X37" t="s">
        <v>69</v>
      </c>
      <c r="Y37">
        <v>0</v>
      </c>
      <c r="Z37" t="s">
        <v>69</v>
      </c>
      <c r="AC37" t="str">
        <f t="shared" si="2"/>
        <v>RURAL</v>
      </c>
      <c r="AD37" t="s">
        <v>246</v>
      </c>
      <c r="AE37">
        <v>4374</v>
      </c>
      <c r="AG37">
        <v>14200</v>
      </c>
      <c r="AH37" t="s">
        <v>182</v>
      </c>
      <c r="AI37" t="s">
        <v>48</v>
      </c>
      <c r="AJ37">
        <v>1995</v>
      </c>
      <c r="AK37" t="s">
        <v>287</v>
      </c>
    </row>
    <row r="38" spans="2:37" x14ac:dyDescent="0.3">
      <c r="B38">
        <f t="shared" si="0"/>
        <v>10</v>
      </c>
      <c r="C38" t="s">
        <v>184</v>
      </c>
      <c r="D38" t="s">
        <v>149</v>
      </c>
      <c r="E38">
        <v>0</v>
      </c>
      <c r="F38" t="s">
        <v>288</v>
      </c>
      <c r="G38" t="s">
        <v>150</v>
      </c>
      <c r="I38">
        <v>2024</v>
      </c>
      <c r="J38">
        <v>6</v>
      </c>
      <c r="K38">
        <v>29000</v>
      </c>
      <c r="L38">
        <v>1210</v>
      </c>
      <c r="M38" t="s">
        <v>129</v>
      </c>
      <c r="N38" t="s">
        <v>218</v>
      </c>
      <c r="O38">
        <f t="shared" si="1"/>
        <v>3</v>
      </c>
      <c r="P38" t="s">
        <v>154</v>
      </c>
      <c r="Q38" t="s">
        <v>153</v>
      </c>
      <c r="R38" t="s">
        <v>76</v>
      </c>
      <c r="U38">
        <v>4</v>
      </c>
      <c r="V38">
        <v>0</v>
      </c>
      <c r="W38" t="s">
        <v>155</v>
      </c>
      <c r="X38" t="s">
        <v>156</v>
      </c>
      <c r="Y38">
        <v>0</v>
      </c>
      <c r="AB38" t="s">
        <v>289</v>
      </c>
      <c r="AC38" t="str">
        <f t="shared" si="2"/>
        <v>RURAL</v>
      </c>
      <c r="AD38" t="s">
        <v>290</v>
      </c>
      <c r="AE38">
        <v>7972</v>
      </c>
      <c r="AG38">
        <v>29000</v>
      </c>
      <c r="AH38" t="s">
        <v>160</v>
      </c>
      <c r="AI38" t="s">
        <v>161</v>
      </c>
      <c r="AJ38">
        <v>2024</v>
      </c>
      <c r="AK38" t="s">
        <v>162</v>
      </c>
    </row>
    <row r="39" spans="2:37" x14ac:dyDescent="0.3">
      <c r="B39">
        <f t="shared" si="0"/>
        <v>3</v>
      </c>
      <c r="C39" t="s">
        <v>60</v>
      </c>
      <c r="D39" t="s">
        <v>176</v>
      </c>
      <c r="E39">
        <v>5193</v>
      </c>
      <c r="G39" t="s">
        <v>63</v>
      </c>
      <c r="H39" t="s">
        <v>291</v>
      </c>
      <c r="I39">
        <v>2024</v>
      </c>
      <c r="J39">
        <v>10</v>
      </c>
      <c r="K39">
        <v>8000</v>
      </c>
      <c r="L39">
        <v>3140</v>
      </c>
      <c r="M39" t="s">
        <v>39</v>
      </c>
      <c r="N39" t="s">
        <v>40</v>
      </c>
      <c r="O39">
        <f t="shared" si="1"/>
        <v>1</v>
      </c>
      <c r="Q39" t="s">
        <v>66</v>
      </c>
      <c r="R39" t="s">
        <v>292</v>
      </c>
      <c r="S39" t="s">
        <v>68</v>
      </c>
      <c r="T39" t="s">
        <v>293</v>
      </c>
      <c r="U39">
        <v>2</v>
      </c>
      <c r="V39">
        <v>5</v>
      </c>
      <c r="W39" t="s">
        <v>44</v>
      </c>
      <c r="X39" t="s">
        <v>69</v>
      </c>
      <c r="Y39">
        <v>125</v>
      </c>
      <c r="Z39" t="s">
        <v>156</v>
      </c>
      <c r="AB39" t="s">
        <v>294</v>
      </c>
      <c r="AC39" t="str">
        <f t="shared" si="2"/>
        <v>RURAL</v>
      </c>
      <c r="AD39" t="s">
        <v>295</v>
      </c>
      <c r="AE39">
        <v>3110</v>
      </c>
      <c r="AF39" t="s">
        <v>296</v>
      </c>
      <c r="AG39">
        <v>14200</v>
      </c>
      <c r="AH39" t="s">
        <v>182</v>
      </c>
      <c r="AI39" t="s">
        <v>48</v>
      </c>
      <c r="AJ39">
        <v>2004</v>
      </c>
      <c r="AK39" t="s">
        <v>297</v>
      </c>
    </row>
    <row r="40" spans="2:37" x14ac:dyDescent="0.3">
      <c r="B40">
        <f t="shared" si="0"/>
        <v>3</v>
      </c>
      <c r="C40" t="s">
        <v>60</v>
      </c>
      <c r="D40" t="s">
        <v>242</v>
      </c>
      <c r="E40">
        <v>5400</v>
      </c>
      <c r="G40" t="s">
        <v>117</v>
      </c>
      <c r="H40" t="s">
        <v>38</v>
      </c>
      <c r="I40">
        <v>2024</v>
      </c>
      <c r="J40">
        <v>2</v>
      </c>
      <c r="K40">
        <v>2960</v>
      </c>
      <c r="L40">
        <v>0</v>
      </c>
      <c r="M40" t="s">
        <v>39</v>
      </c>
      <c r="N40" t="s">
        <v>40</v>
      </c>
      <c r="O40">
        <f t="shared" si="1"/>
        <v>1</v>
      </c>
      <c r="P40" t="s">
        <v>298</v>
      </c>
      <c r="Q40" t="s">
        <v>102</v>
      </c>
      <c r="R40" t="s">
        <v>299</v>
      </c>
      <c r="S40" t="s">
        <v>43</v>
      </c>
      <c r="U40">
        <v>2</v>
      </c>
      <c r="V40">
        <v>6</v>
      </c>
      <c r="W40" t="s">
        <v>44</v>
      </c>
      <c r="X40" t="s">
        <v>45</v>
      </c>
      <c r="Y40">
        <v>0</v>
      </c>
      <c r="Z40" t="s">
        <v>69</v>
      </c>
      <c r="AC40" t="str">
        <f t="shared" si="2"/>
        <v>RURAL</v>
      </c>
      <c r="AD40" t="s">
        <v>300</v>
      </c>
      <c r="AE40">
        <v>4412</v>
      </c>
      <c r="AG40">
        <v>0</v>
      </c>
      <c r="AH40" t="s">
        <v>71</v>
      </c>
      <c r="AI40" t="s">
        <v>48</v>
      </c>
      <c r="AJ40">
        <v>2003</v>
      </c>
      <c r="AK40" t="s">
        <v>301</v>
      </c>
    </row>
    <row r="41" spans="2:37" x14ac:dyDescent="0.3">
      <c r="B41">
        <f t="shared" si="0"/>
        <v>3</v>
      </c>
      <c r="C41" t="s">
        <v>60</v>
      </c>
      <c r="D41" t="s">
        <v>89</v>
      </c>
      <c r="E41">
        <v>223</v>
      </c>
      <c r="G41" t="s">
        <v>90</v>
      </c>
      <c r="H41" t="s">
        <v>302</v>
      </c>
      <c r="I41">
        <v>2024</v>
      </c>
      <c r="J41">
        <v>8</v>
      </c>
      <c r="K41">
        <v>0</v>
      </c>
      <c r="L41">
        <v>0</v>
      </c>
      <c r="M41" t="s">
        <v>39</v>
      </c>
      <c r="N41" t="s">
        <v>40</v>
      </c>
      <c r="O41">
        <f t="shared" si="1"/>
        <v>1</v>
      </c>
      <c r="Q41" t="s">
        <v>303</v>
      </c>
      <c r="R41" t="s">
        <v>304</v>
      </c>
      <c r="S41" t="s">
        <v>43</v>
      </c>
      <c r="T41" t="s">
        <v>305</v>
      </c>
      <c r="U41">
        <v>0</v>
      </c>
      <c r="V41">
        <v>0</v>
      </c>
      <c r="W41" t="s">
        <v>44</v>
      </c>
      <c r="X41" t="s">
        <v>69</v>
      </c>
      <c r="Y41">
        <v>999</v>
      </c>
      <c r="Z41" t="s">
        <v>230</v>
      </c>
      <c r="AB41" t="s">
        <v>306</v>
      </c>
      <c r="AC41" t="str">
        <f t="shared" si="2"/>
        <v>RURAL</v>
      </c>
      <c r="AD41" t="s">
        <v>295</v>
      </c>
      <c r="AE41">
        <v>3112</v>
      </c>
      <c r="AG41">
        <v>0</v>
      </c>
      <c r="AH41" t="s">
        <v>89</v>
      </c>
      <c r="AI41" t="s">
        <v>48</v>
      </c>
      <c r="AJ41">
        <v>2024</v>
      </c>
      <c r="AK41" t="s">
        <v>307</v>
      </c>
    </row>
    <row r="42" spans="2:37" x14ac:dyDescent="0.3">
      <c r="B42">
        <f t="shared" si="0"/>
        <v>13</v>
      </c>
      <c r="C42" t="s">
        <v>308</v>
      </c>
      <c r="D42" t="s">
        <v>142</v>
      </c>
      <c r="E42">
        <v>1796</v>
      </c>
      <c r="F42" t="s">
        <v>309</v>
      </c>
      <c r="G42" t="s">
        <v>37</v>
      </c>
      <c r="H42" t="s">
        <v>310</v>
      </c>
      <c r="I42">
        <v>2024</v>
      </c>
      <c r="J42">
        <v>2</v>
      </c>
      <c r="K42">
        <v>942</v>
      </c>
      <c r="L42">
        <v>0</v>
      </c>
      <c r="M42" t="s">
        <v>39</v>
      </c>
      <c r="N42" t="s">
        <v>40</v>
      </c>
      <c r="O42">
        <f t="shared" si="1"/>
        <v>1</v>
      </c>
      <c r="P42" t="s">
        <v>235</v>
      </c>
      <c r="Q42" t="s">
        <v>311</v>
      </c>
      <c r="R42" t="s">
        <v>312</v>
      </c>
      <c r="S42" t="s">
        <v>43</v>
      </c>
      <c r="U42">
        <v>2</v>
      </c>
      <c r="V42">
        <v>2</v>
      </c>
      <c r="W42" t="s">
        <v>44</v>
      </c>
      <c r="X42" t="s">
        <v>95</v>
      </c>
      <c r="Y42">
        <v>0</v>
      </c>
      <c r="Z42" t="s">
        <v>95</v>
      </c>
      <c r="AC42" t="str">
        <f t="shared" si="2"/>
        <v>URBAN</v>
      </c>
      <c r="AD42" t="s">
        <v>147</v>
      </c>
      <c r="AE42">
        <v>982</v>
      </c>
      <c r="AG42">
        <v>0</v>
      </c>
      <c r="AH42" t="s">
        <v>47</v>
      </c>
      <c r="AI42" t="s">
        <v>48</v>
      </c>
      <c r="AJ42">
        <v>1998</v>
      </c>
      <c r="AK42" t="s">
        <v>313</v>
      </c>
    </row>
    <row r="43" spans="2:37" x14ac:dyDescent="0.3">
      <c r="B43">
        <f t="shared" si="0"/>
        <v>10</v>
      </c>
      <c r="C43" t="s">
        <v>184</v>
      </c>
      <c r="D43" t="s">
        <v>89</v>
      </c>
      <c r="E43">
        <v>150</v>
      </c>
      <c r="F43" t="s">
        <v>314</v>
      </c>
      <c r="G43" t="s">
        <v>90</v>
      </c>
      <c r="H43">
        <v>159459</v>
      </c>
      <c r="I43">
        <v>2024</v>
      </c>
      <c r="J43">
        <v>6</v>
      </c>
      <c r="K43">
        <v>0</v>
      </c>
      <c r="L43">
        <v>0</v>
      </c>
      <c r="M43" t="s">
        <v>39</v>
      </c>
      <c r="N43" t="s">
        <v>40</v>
      </c>
      <c r="O43">
        <f t="shared" si="1"/>
        <v>1</v>
      </c>
      <c r="Q43" t="s">
        <v>315</v>
      </c>
      <c r="R43">
        <v>150</v>
      </c>
      <c r="S43" t="s">
        <v>43</v>
      </c>
      <c r="U43">
        <v>0</v>
      </c>
      <c r="V43">
        <v>0</v>
      </c>
      <c r="W43" t="s">
        <v>44</v>
      </c>
      <c r="X43" t="s">
        <v>237</v>
      </c>
      <c r="Y43">
        <v>0</v>
      </c>
      <c r="Z43" t="s">
        <v>174</v>
      </c>
      <c r="AB43" t="s">
        <v>316</v>
      </c>
      <c r="AC43" t="str">
        <f t="shared" si="2"/>
        <v>RURAL</v>
      </c>
      <c r="AD43" t="s">
        <v>317</v>
      </c>
      <c r="AE43">
        <v>7272</v>
      </c>
      <c r="AG43">
        <v>0</v>
      </c>
      <c r="AH43" t="s">
        <v>89</v>
      </c>
      <c r="AI43" t="s">
        <v>48</v>
      </c>
      <c r="AJ43">
        <v>1965</v>
      </c>
      <c r="AK43" t="s">
        <v>318</v>
      </c>
    </row>
    <row r="44" spans="2:37" x14ac:dyDescent="0.3">
      <c r="B44">
        <f t="shared" si="0"/>
        <v>10</v>
      </c>
      <c r="C44" t="s">
        <v>184</v>
      </c>
      <c r="D44" t="s">
        <v>142</v>
      </c>
      <c r="E44">
        <v>6000</v>
      </c>
      <c r="F44" t="s">
        <v>319</v>
      </c>
      <c r="G44" t="s">
        <v>37</v>
      </c>
      <c r="H44" t="s">
        <v>320</v>
      </c>
      <c r="I44">
        <v>2024</v>
      </c>
      <c r="J44">
        <v>4</v>
      </c>
      <c r="K44">
        <v>0</v>
      </c>
      <c r="L44">
        <v>0</v>
      </c>
      <c r="M44" t="s">
        <v>39</v>
      </c>
      <c r="N44" t="s">
        <v>40</v>
      </c>
      <c r="O44">
        <f t="shared" si="1"/>
        <v>1</v>
      </c>
      <c r="Q44" t="s">
        <v>249</v>
      </c>
      <c r="R44" t="s">
        <v>321</v>
      </c>
      <c r="S44" t="s">
        <v>43</v>
      </c>
      <c r="U44">
        <v>2</v>
      </c>
      <c r="V44">
        <v>4</v>
      </c>
      <c r="W44" t="s">
        <v>44</v>
      </c>
      <c r="X44" t="s">
        <v>45</v>
      </c>
      <c r="Y44">
        <v>0</v>
      </c>
      <c r="Z44" t="s">
        <v>45</v>
      </c>
      <c r="AC44" t="str">
        <f t="shared" si="2"/>
        <v>RURAL</v>
      </c>
      <c r="AD44" t="s">
        <v>281</v>
      </c>
      <c r="AE44">
        <v>7400</v>
      </c>
      <c r="AG44">
        <v>0</v>
      </c>
      <c r="AH44" t="s">
        <v>47</v>
      </c>
      <c r="AI44" t="s">
        <v>48</v>
      </c>
      <c r="AJ44">
        <v>1968</v>
      </c>
      <c r="AK44" t="s">
        <v>322</v>
      </c>
    </row>
    <row r="45" spans="2:37" x14ac:dyDescent="0.3">
      <c r="B45">
        <f t="shared" si="0"/>
        <v>2</v>
      </c>
      <c r="C45" t="s">
        <v>50</v>
      </c>
      <c r="D45" t="s">
        <v>89</v>
      </c>
      <c r="E45">
        <v>125</v>
      </c>
      <c r="G45" t="s">
        <v>90</v>
      </c>
      <c r="H45" t="s">
        <v>38</v>
      </c>
      <c r="I45">
        <v>2024</v>
      </c>
      <c r="J45">
        <v>12</v>
      </c>
      <c r="K45">
        <v>0</v>
      </c>
      <c r="L45">
        <v>0</v>
      </c>
      <c r="M45" t="s">
        <v>39</v>
      </c>
      <c r="N45" t="s">
        <v>40</v>
      </c>
      <c r="O45">
        <f t="shared" si="1"/>
        <v>1</v>
      </c>
      <c r="Q45" t="s">
        <v>315</v>
      </c>
      <c r="R45" t="s">
        <v>323</v>
      </c>
      <c r="S45" t="s">
        <v>43</v>
      </c>
      <c r="U45">
        <v>0</v>
      </c>
      <c r="V45">
        <v>0</v>
      </c>
      <c r="W45" t="s">
        <v>44</v>
      </c>
      <c r="X45" t="s">
        <v>237</v>
      </c>
      <c r="Y45">
        <v>0</v>
      </c>
      <c r="Z45" t="s">
        <v>95</v>
      </c>
      <c r="AB45">
        <v>125</v>
      </c>
      <c r="AC45" t="str">
        <f t="shared" si="2"/>
        <v>RURAL</v>
      </c>
      <c r="AD45" t="s">
        <v>133</v>
      </c>
      <c r="AE45">
        <v>9018</v>
      </c>
      <c r="AG45">
        <v>0</v>
      </c>
      <c r="AH45" t="s">
        <v>89</v>
      </c>
      <c r="AI45" t="s">
        <v>48</v>
      </c>
      <c r="AJ45">
        <v>1996</v>
      </c>
      <c r="AK45" t="s">
        <v>324</v>
      </c>
    </row>
    <row r="46" spans="2:37" x14ac:dyDescent="0.3">
      <c r="B46">
        <f t="shared" si="0"/>
        <v>6</v>
      </c>
      <c r="C46" t="s">
        <v>109</v>
      </c>
      <c r="D46" t="s">
        <v>89</v>
      </c>
      <c r="E46">
        <v>450</v>
      </c>
      <c r="G46" t="s">
        <v>90</v>
      </c>
      <c r="H46">
        <v>759441403</v>
      </c>
      <c r="I46">
        <v>2024</v>
      </c>
      <c r="J46">
        <v>4</v>
      </c>
      <c r="K46">
        <v>0</v>
      </c>
      <c r="L46">
        <v>0</v>
      </c>
      <c r="M46" t="s">
        <v>39</v>
      </c>
      <c r="N46" t="s">
        <v>40</v>
      </c>
      <c r="O46">
        <f t="shared" si="1"/>
        <v>1</v>
      </c>
      <c r="Q46" t="s">
        <v>227</v>
      </c>
      <c r="R46" t="s">
        <v>228</v>
      </c>
      <c r="S46" t="s">
        <v>43</v>
      </c>
      <c r="U46">
        <v>0</v>
      </c>
      <c r="V46">
        <v>0</v>
      </c>
      <c r="W46" t="s">
        <v>44</v>
      </c>
      <c r="X46" t="s">
        <v>229</v>
      </c>
      <c r="Y46">
        <v>0</v>
      </c>
      <c r="Z46" t="s">
        <v>230</v>
      </c>
      <c r="AC46" t="str">
        <f t="shared" si="2"/>
        <v>RURAL</v>
      </c>
      <c r="AD46" t="s">
        <v>325</v>
      </c>
      <c r="AE46">
        <v>7615</v>
      </c>
      <c r="AG46">
        <v>0</v>
      </c>
      <c r="AH46" t="s">
        <v>89</v>
      </c>
      <c r="AI46" t="s">
        <v>48</v>
      </c>
      <c r="AJ46">
        <v>2024</v>
      </c>
      <c r="AK46" t="s">
        <v>326</v>
      </c>
    </row>
    <row r="47" spans="2:37" x14ac:dyDescent="0.3">
      <c r="B47">
        <f t="shared" si="0"/>
        <v>3</v>
      </c>
      <c r="C47" t="s">
        <v>60</v>
      </c>
      <c r="D47" t="s">
        <v>99</v>
      </c>
      <c r="E47">
        <v>3800</v>
      </c>
      <c r="F47" t="s">
        <v>327</v>
      </c>
      <c r="G47" t="s">
        <v>37</v>
      </c>
      <c r="H47" t="s">
        <v>38</v>
      </c>
      <c r="I47">
        <v>2024</v>
      </c>
      <c r="J47">
        <v>7</v>
      </c>
      <c r="K47">
        <v>1711</v>
      </c>
      <c r="L47">
        <v>0</v>
      </c>
      <c r="M47" t="s">
        <v>39</v>
      </c>
      <c r="N47" t="s">
        <v>40</v>
      </c>
      <c r="O47">
        <f t="shared" si="1"/>
        <v>1</v>
      </c>
      <c r="P47" t="s">
        <v>235</v>
      </c>
      <c r="Q47" t="s">
        <v>328</v>
      </c>
      <c r="R47" t="s">
        <v>329</v>
      </c>
      <c r="S47" t="s">
        <v>43</v>
      </c>
      <c r="U47">
        <v>2</v>
      </c>
      <c r="V47">
        <v>5</v>
      </c>
      <c r="W47" t="s">
        <v>44</v>
      </c>
      <c r="X47" t="s">
        <v>221</v>
      </c>
      <c r="Y47">
        <v>0</v>
      </c>
      <c r="Z47" t="s">
        <v>95</v>
      </c>
      <c r="AC47" t="str">
        <f t="shared" si="2"/>
        <v>URBAN</v>
      </c>
      <c r="AD47" t="s">
        <v>147</v>
      </c>
      <c r="AE47">
        <v>630</v>
      </c>
      <c r="AG47">
        <v>0</v>
      </c>
      <c r="AH47" t="s">
        <v>47</v>
      </c>
      <c r="AI47" t="s">
        <v>48</v>
      </c>
      <c r="AJ47">
        <v>1992</v>
      </c>
      <c r="AK47" t="s">
        <v>330</v>
      </c>
    </row>
    <row r="48" spans="2:37" x14ac:dyDescent="0.3">
      <c r="B48">
        <f t="shared" si="0"/>
        <v>7</v>
      </c>
      <c r="C48" t="s">
        <v>115</v>
      </c>
      <c r="D48" t="s">
        <v>149</v>
      </c>
      <c r="E48">
        <v>0</v>
      </c>
      <c r="F48" t="s">
        <v>331</v>
      </c>
      <c r="G48" t="s">
        <v>150</v>
      </c>
      <c r="I48">
        <v>2023</v>
      </c>
      <c r="J48">
        <v>3</v>
      </c>
      <c r="K48">
        <v>24000</v>
      </c>
      <c r="L48">
        <v>3800</v>
      </c>
      <c r="M48" t="s">
        <v>39</v>
      </c>
      <c r="N48" t="s">
        <v>151</v>
      </c>
      <c r="O48">
        <f t="shared" si="1"/>
        <v>4</v>
      </c>
      <c r="Q48" t="s">
        <v>332</v>
      </c>
      <c r="R48" t="s">
        <v>153</v>
      </c>
      <c r="U48">
        <v>2</v>
      </c>
      <c r="V48">
        <v>0</v>
      </c>
      <c r="W48" t="s">
        <v>55</v>
      </c>
      <c r="X48" t="s">
        <v>156</v>
      </c>
      <c r="Y48">
        <v>0</v>
      </c>
      <c r="Z48" t="s">
        <v>174</v>
      </c>
      <c r="AA48" t="s">
        <v>157</v>
      </c>
      <c r="AC48" t="str">
        <f t="shared" si="2"/>
        <v>URBAN</v>
      </c>
      <c r="AD48" t="s">
        <v>147</v>
      </c>
      <c r="AE48">
        <v>2105</v>
      </c>
      <c r="AG48">
        <v>14500</v>
      </c>
      <c r="AH48" t="s">
        <v>160</v>
      </c>
      <c r="AI48" t="s">
        <v>161</v>
      </c>
      <c r="AJ48">
        <v>1986</v>
      </c>
      <c r="AK48" t="s">
        <v>333</v>
      </c>
    </row>
    <row r="49" spans="2:37" x14ac:dyDescent="0.3">
      <c r="B49">
        <f t="shared" si="0"/>
        <v>3</v>
      </c>
      <c r="C49" t="s">
        <v>60</v>
      </c>
      <c r="D49" t="s">
        <v>99</v>
      </c>
      <c r="E49">
        <v>2200</v>
      </c>
      <c r="G49" t="s">
        <v>37</v>
      </c>
      <c r="H49" t="s">
        <v>38</v>
      </c>
      <c r="I49">
        <v>2023</v>
      </c>
      <c r="J49">
        <v>3</v>
      </c>
      <c r="K49">
        <v>0</v>
      </c>
      <c r="L49">
        <v>0</v>
      </c>
      <c r="M49" t="s">
        <v>334</v>
      </c>
      <c r="N49" t="s">
        <v>40</v>
      </c>
      <c r="O49">
        <f t="shared" si="1"/>
        <v>1</v>
      </c>
      <c r="Q49" t="s">
        <v>335</v>
      </c>
      <c r="R49" t="s">
        <v>336</v>
      </c>
      <c r="S49" t="s">
        <v>43</v>
      </c>
      <c r="U49">
        <v>2</v>
      </c>
      <c r="V49">
        <v>2</v>
      </c>
      <c r="W49" t="s">
        <v>155</v>
      </c>
      <c r="X49" t="s">
        <v>156</v>
      </c>
      <c r="Y49">
        <v>0</v>
      </c>
      <c r="AB49" t="s">
        <v>337</v>
      </c>
      <c r="AC49" t="str">
        <f t="shared" si="2"/>
        <v>URBAN</v>
      </c>
      <c r="AD49" t="s">
        <v>147</v>
      </c>
      <c r="AE49">
        <v>604</v>
      </c>
      <c r="AG49">
        <v>0</v>
      </c>
      <c r="AH49" t="s">
        <v>47</v>
      </c>
      <c r="AI49" t="s">
        <v>48</v>
      </c>
      <c r="AJ49">
        <v>2023</v>
      </c>
      <c r="AK49" t="s">
        <v>338</v>
      </c>
    </row>
    <row r="50" spans="2:37" x14ac:dyDescent="0.3">
      <c r="B50">
        <f t="shared" si="0"/>
        <v>3</v>
      </c>
      <c r="C50" t="s">
        <v>60</v>
      </c>
      <c r="D50" t="s">
        <v>339</v>
      </c>
      <c r="E50">
        <v>5787</v>
      </c>
      <c r="G50" t="s">
        <v>63</v>
      </c>
      <c r="H50" t="s">
        <v>340</v>
      </c>
      <c r="I50">
        <v>2023</v>
      </c>
      <c r="J50">
        <v>10</v>
      </c>
      <c r="K50">
        <v>9600</v>
      </c>
      <c r="L50">
        <v>2450</v>
      </c>
      <c r="M50" t="s">
        <v>39</v>
      </c>
      <c r="N50" t="s">
        <v>40</v>
      </c>
      <c r="O50">
        <f t="shared" si="1"/>
        <v>1</v>
      </c>
      <c r="Q50" t="s">
        <v>66</v>
      </c>
      <c r="R50" t="s">
        <v>286</v>
      </c>
      <c r="S50" t="s">
        <v>68</v>
      </c>
      <c r="U50">
        <v>2</v>
      </c>
      <c r="V50">
        <v>3</v>
      </c>
      <c r="W50" t="s">
        <v>55</v>
      </c>
      <c r="X50" t="s">
        <v>69</v>
      </c>
      <c r="Y50">
        <v>0</v>
      </c>
      <c r="Z50" t="s">
        <v>156</v>
      </c>
      <c r="AC50" t="str">
        <f t="shared" si="2"/>
        <v>RURAL</v>
      </c>
      <c r="AD50" t="s">
        <v>341</v>
      </c>
      <c r="AE50">
        <v>3610</v>
      </c>
      <c r="AG50">
        <v>14200</v>
      </c>
      <c r="AH50" t="s">
        <v>71</v>
      </c>
      <c r="AI50" t="s">
        <v>48</v>
      </c>
      <c r="AJ50">
        <v>1986</v>
      </c>
      <c r="AK50" t="s">
        <v>342</v>
      </c>
    </row>
    <row r="51" spans="2:37" x14ac:dyDescent="0.3">
      <c r="B51">
        <f t="shared" si="0"/>
        <v>1</v>
      </c>
      <c r="C51" t="s">
        <v>34</v>
      </c>
      <c r="D51" t="s">
        <v>242</v>
      </c>
      <c r="E51">
        <v>3500</v>
      </c>
      <c r="F51" t="s">
        <v>343</v>
      </c>
      <c r="G51" t="s">
        <v>117</v>
      </c>
      <c r="H51" t="s">
        <v>344</v>
      </c>
      <c r="I51">
        <v>2023</v>
      </c>
      <c r="J51">
        <v>9</v>
      </c>
      <c r="K51">
        <v>1380</v>
      </c>
      <c r="L51">
        <v>0</v>
      </c>
      <c r="M51" t="s">
        <v>334</v>
      </c>
      <c r="N51" t="s">
        <v>40</v>
      </c>
      <c r="O51">
        <f t="shared" si="1"/>
        <v>1</v>
      </c>
      <c r="Q51" t="s">
        <v>335</v>
      </c>
      <c r="R51" t="s">
        <v>336</v>
      </c>
      <c r="S51" t="s">
        <v>43</v>
      </c>
      <c r="T51" t="s">
        <v>345</v>
      </c>
      <c r="U51">
        <v>2</v>
      </c>
      <c r="V51">
        <v>2</v>
      </c>
      <c r="W51" t="s">
        <v>55</v>
      </c>
      <c r="X51" t="s">
        <v>95</v>
      </c>
      <c r="Y51">
        <v>61</v>
      </c>
      <c r="AB51" t="s">
        <v>346</v>
      </c>
      <c r="AC51" t="str">
        <f t="shared" si="2"/>
        <v>RURAL</v>
      </c>
      <c r="AD51" t="s">
        <v>239</v>
      </c>
      <c r="AE51">
        <v>7025</v>
      </c>
      <c r="AG51">
        <v>0</v>
      </c>
      <c r="AH51" t="s">
        <v>71</v>
      </c>
      <c r="AI51" t="s">
        <v>48</v>
      </c>
      <c r="AJ51">
        <v>2023</v>
      </c>
      <c r="AK51" t="s">
        <v>347</v>
      </c>
    </row>
    <row r="52" spans="2:37" x14ac:dyDescent="0.3">
      <c r="B52">
        <f t="shared" si="0"/>
        <v>10</v>
      </c>
      <c r="C52" t="s">
        <v>184</v>
      </c>
      <c r="D52" t="s">
        <v>61</v>
      </c>
      <c r="E52">
        <v>6494</v>
      </c>
      <c r="G52" t="s">
        <v>169</v>
      </c>
      <c r="H52" t="s">
        <v>38</v>
      </c>
      <c r="I52">
        <v>2023</v>
      </c>
      <c r="J52">
        <v>2</v>
      </c>
      <c r="K52">
        <v>15000</v>
      </c>
      <c r="L52">
        <v>3100</v>
      </c>
      <c r="M52" t="s">
        <v>129</v>
      </c>
      <c r="N52" t="s">
        <v>348</v>
      </c>
      <c r="O52">
        <f t="shared" si="1"/>
        <v>6</v>
      </c>
      <c r="Q52" t="s">
        <v>66</v>
      </c>
      <c r="R52" t="s">
        <v>349</v>
      </c>
      <c r="S52" t="s">
        <v>68</v>
      </c>
      <c r="U52">
        <v>2</v>
      </c>
      <c r="V52">
        <v>2</v>
      </c>
      <c r="W52" t="s">
        <v>55</v>
      </c>
      <c r="X52" t="s">
        <v>69</v>
      </c>
      <c r="Y52">
        <v>0</v>
      </c>
      <c r="AC52" t="str">
        <f t="shared" si="2"/>
        <v>RURAL</v>
      </c>
      <c r="AD52" t="s">
        <v>350</v>
      </c>
      <c r="AE52">
        <v>4180</v>
      </c>
      <c r="AG52">
        <v>14200</v>
      </c>
      <c r="AH52" t="s">
        <v>71</v>
      </c>
      <c r="AI52" t="s">
        <v>161</v>
      </c>
      <c r="AJ52">
        <v>2023</v>
      </c>
      <c r="AK52" t="s">
        <v>351</v>
      </c>
    </row>
    <row r="53" spans="2:37" x14ac:dyDescent="0.3">
      <c r="B53">
        <f t="shared" si="0"/>
        <v>3</v>
      </c>
      <c r="C53" t="s">
        <v>60</v>
      </c>
      <c r="D53" t="s">
        <v>176</v>
      </c>
      <c r="E53">
        <v>3567</v>
      </c>
      <c r="G53" t="s">
        <v>63</v>
      </c>
      <c r="H53" t="s">
        <v>352</v>
      </c>
      <c r="I53">
        <v>2023</v>
      </c>
      <c r="J53">
        <v>2</v>
      </c>
      <c r="K53">
        <v>5800</v>
      </c>
      <c r="L53">
        <v>2350</v>
      </c>
      <c r="M53" t="s">
        <v>353</v>
      </c>
      <c r="N53" t="s">
        <v>40</v>
      </c>
      <c r="O53">
        <f t="shared" si="1"/>
        <v>1</v>
      </c>
      <c r="Q53" t="s">
        <v>130</v>
      </c>
      <c r="R53" t="s">
        <v>131</v>
      </c>
      <c r="S53" t="s">
        <v>68</v>
      </c>
      <c r="T53" t="s">
        <v>354</v>
      </c>
      <c r="U53">
        <v>2</v>
      </c>
      <c r="V53">
        <v>3</v>
      </c>
      <c r="W53" t="s">
        <v>155</v>
      </c>
      <c r="X53" t="s">
        <v>69</v>
      </c>
      <c r="Y53">
        <v>80</v>
      </c>
      <c r="AB53" t="s">
        <v>355</v>
      </c>
      <c r="AC53" t="str">
        <f t="shared" si="2"/>
        <v>RURAL</v>
      </c>
      <c r="AD53" t="s">
        <v>341</v>
      </c>
      <c r="AE53">
        <v>3578</v>
      </c>
      <c r="AF53" t="s">
        <v>134</v>
      </c>
      <c r="AG53">
        <v>14200</v>
      </c>
      <c r="AH53" t="s">
        <v>182</v>
      </c>
      <c r="AI53" t="s">
        <v>48</v>
      </c>
      <c r="AJ53">
        <v>1996</v>
      </c>
      <c r="AK53" t="s">
        <v>356</v>
      </c>
    </row>
    <row r="54" spans="2:37" x14ac:dyDescent="0.3">
      <c r="B54">
        <f t="shared" si="0"/>
        <v>3</v>
      </c>
      <c r="C54" t="s">
        <v>60</v>
      </c>
      <c r="D54" t="s">
        <v>176</v>
      </c>
      <c r="E54">
        <v>8220</v>
      </c>
      <c r="F54" t="s">
        <v>357</v>
      </c>
      <c r="G54" t="s">
        <v>63</v>
      </c>
      <c r="H54" t="s">
        <v>38</v>
      </c>
      <c r="I54">
        <v>2023</v>
      </c>
      <c r="J54">
        <v>2</v>
      </c>
      <c r="K54">
        <v>9250</v>
      </c>
      <c r="L54">
        <v>3320</v>
      </c>
      <c r="M54" t="s">
        <v>39</v>
      </c>
      <c r="N54" t="s">
        <v>40</v>
      </c>
      <c r="O54">
        <f t="shared" si="1"/>
        <v>1</v>
      </c>
      <c r="P54" t="s">
        <v>358</v>
      </c>
      <c r="Q54" t="s">
        <v>66</v>
      </c>
      <c r="R54" t="s">
        <v>286</v>
      </c>
      <c r="S54" t="s">
        <v>68</v>
      </c>
      <c r="U54">
        <v>2</v>
      </c>
      <c r="V54">
        <v>3</v>
      </c>
      <c r="W54" t="s">
        <v>44</v>
      </c>
      <c r="X54" t="s">
        <v>69</v>
      </c>
      <c r="Y54">
        <v>0</v>
      </c>
      <c r="Z54" t="s">
        <v>69</v>
      </c>
      <c r="AB54">
        <v>210</v>
      </c>
      <c r="AC54" t="str">
        <f t="shared" si="2"/>
        <v>RURAL</v>
      </c>
      <c r="AD54" t="s">
        <v>70</v>
      </c>
      <c r="AE54">
        <v>4574</v>
      </c>
      <c r="AG54">
        <v>14200</v>
      </c>
      <c r="AH54" t="s">
        <v>182</v>
      </c>
      <c r="AI54" t="s">
        <v>48</v>
      </c>
      <c r="AJ54">
        <v>1997</v>
      </c>
      <c r="AK54" t="s">
        <v>359</v>
      </c>
    </row>
    <row r="55" spans="2:37" x14ac:dyDescent="0.3">
      <c r="B55">
        <f t="shared" si="0"/>
        <v>4</v>
      </c>
      <c r="C55" t="s">
        <v>73</v>
      </c>
      <c r="D55" t="s">
        <v>89</v>
      </c>
      <c r="E55">
        <v>398</v>
      </c>
      <c r="G55" t="s">
        <v>90</v>
      </c>
      <c r="H55" t="s">
        <v>360</v>
      </c>
      <c r="I55">
        <v>2023</v>
      </c>
      <c r="J55">
        <v>12</v>
      </c>
      <c r="K55">
        <v>0</v>
      </c>
      <c r="L55">
        <v>0</v>
      </c>
      <c r="M55" t="s">
        <v>129</v>
      </c>
      <c r="N55" t="s">
        <v>40</v>
      </c>
      <c r="O55">
        <f t="shared" si="1"/>
        <v>1</v>
      </c>
      <c r="Q55" t="s">
        <v>361</v>
      </c>
      <c r="R55" t="s">
        <v>362</v>
      </c>
      <c r="S55" t="s">
        <v>43</v>
      </c>
      <c r="T55" t="s">
        <v>363</v>
      </c>
      <c r="U55">
        <v>0</v>
      </c>
      <c r="V55">
        <v>0</v>
      </c>
      <c r="W55" t="s">
        <v>155</v>
      </c>
      <c r="X55" t="s">
        <v>69</v>
      </c>
      <c r="Y55">
        <v>36</v>
      </c>
      <c r="AC55" t="str">
        <f t="shared" si="2"/>
        <v>URBAN</v>
      </c>
      <c r="AD55" t="s">
        <v>147</v>
      </c>
      <c r="AE55">
        <v>2123</v>
      </c>
      <c r="AG55">
        <v>0</v>
      </c>
      <c r="AH55" t="s">
        <v>89</v>
      </c>
      <c r="AI55" t="s">
        <v>48</v>
      </c>
      <c r="AJ55">
        <v>2023</v>
      </c>
      <c r="AK55" t="s">
        <v>364</v>
      </c>
    </row>
    <row r="56" spans="2:37" x14ac:dyDescent="0.3">
      <c r="B56">
        <f t="shared" si="0"/>
        <v>1</v>
      </c>
      <c r="C56" t="s">
        <v>34</v>
      </c>
      <c r="D56" t="s">
        <v>89</v>
      </c>
      <c r="E56">
        <v>649</v>
      </c>
      <c r="G56" t="s">
        <v>90</v>
      </c>
      <c r="H56" t="s">
        <v>365</v>
      </c>
      <c r="I56">
        <v>2023</v>
      </c>
      <c r="J56">
        <v>11</v>
      </c>
      <c r="K56">
        <v>0</v>
      </c>
      <c r="L56">
        <v>0</v>
      </c>
      <c r="M56" t="s">
        <v>39</v>
      </c>
      <c r="N56" t="s">
        <v>40</v>
      </c>
      <c r="O56">
        <f t="shared" si="1"/>
        <v>1</v>
      </c>
      <c r="Q56" t="s">
        <v>206</v>
      </c>
      <c r="R56" t="s">
        <v>207</v>
      </c>
      <c r="S56" t="s">
        <v>43</v>
      </c>
      <c r="T56" t="s">
        <v>366</v>
      </c>
      <c r="U56">
        <v>0</v>
      </c>
      <c r="V56">
        <v>0</v>
      </c>
      <c r="W56" t="s">
        <v>44</v>
      </c>
      <c r="X56" t="s">
        <v>69</v>
      </c>
      <c r="Y56">
        <v>45</v>
      </c>
      <c r="Z56" t="s">
        <v>156</v>
      </c>
      <c r="AB56">
        <v>650</v>
      </c>
      <c r="AC56" t="str">
        <f t="shared" si="2"/>
        <v>RURAL</v>
      </c>
      <c r="AD56" t="s">
        <v>367</v>
      </c>
      <c r="AE56">
        <v>5871</v>
      </c>
      <c r="AG56">
        <v>0</v>
      </c>
      <c r="AH56" t="s">
        <v>89</v>
      </c>
      <c r="AI56" t="s">
        <v>48</v>
      </c>
      <c r="AJ56">
        <v>2000</v>
      </c>
      <c r="AK56" t="s">
        <v>368</v>
      </c>
    </row>
    <row r="57" spans="2:37" x14ac:dyDescent="0.3">
      <c r="B57">
        <f t="shared" si="0"/>
        <v>10</v>
      </c>
      <c r="C57" t="s">
        <v>184</v>
      </c>
      <c r="D57" t="s">
        <v>89</v>
      </c>
      <c r="E57">
        <v>250</v>
      </c>
      <c r="F57" t="s">
        <v>369</v>
      </c>
      <c r="G57" t="s">
        <v>90</v>
      </c>
      <c r="H57" t="s">
        <v>370</v>
      </c>
      <c r="I57">
        <v>2023</v>
      </c>
      <c r="J57">
        <v>7</v>
      </c>
      <c r="K57">
        <v>0</v>
      </c>
      <c r="L57">
        <v>0</v>
      </c>
      <c r="M57" t="s">
        <v>39</v>
      </c>
      <c r="N57" t="s">
        <v>40</v>
      </c>
      <c r="O57">
        <f t="shared" si="1"/>
        <v>1</v>
      </c>
      <c r="Q57" t="s">
        <v>206</v>
      </c>
      <c r="R57" t="s">
        <v>371</v>
      </c>
      <c r="S57" t="s">
        <v>43</v>
      </c>
      <c r="U57">
        <v>0</v>
      </c>
      <c r="V57">
        <v>0</v>
      </c>
      <c r="W57" t="s">
        <v>44</v>
      </c>
      <c r="X57" t="s">
        <v>69</v>
      </c>
      <c r="Y57">
        <v>0</v>
      </c>
      <c r="Z57" t="s">
        <v>104</v>
      </c>
      <c r="AB57">
        <v>250</v>
      </c>
      <c r="AC57" t="str">
        <f t="shared" si="2"/>
        <v>URBAN</v>
      </c>
      <c r="AD57" t="s">
        <v>46</v>
      </c>
      <c r="AE57">
        <v>8023</v>
      </c>
      <c r="AG57">
        <v>0</v>
      </c>
      <c r="AH57" t="s">
        <v>89</v>
      </c>
      <c r="AI57" t="s">
        <v>48</v>
      </c>
      <c r="AJ57">
        <v>1989</v>
      </c>
      <c r="AK57" t="s">
        <v>372</v>
      </c>
    </row>
    <row r="58" spans="2:37" x14ac:dyDescent="0.3">
      <c r="B58">
        <f t="shared" si="0"/>
        <v>1</v>
      </c>
      <c r="C58" t="s">
        <v>34</v>
      </c>
      <c r="D58" t="s">
        <v>35</v>
      </c>
      <c r="E58">
        <v>2500</v>
      </c>
      <c r="F58" t="s">
        <v>373</v>
      </c>
      <c r="G58" t="s">
        <v>37</v>
      </c>
      <c r="H58" t="s">
        <v>374</v>
      </c>
      <c r="I58">
        <v>2023</v>
      </c>
      <c r="J58">
        <v>9</v>
      </c>
      <c r="K58">
        <v>0</v>
      </c>
      <c r="L58">
        <v>0</v>
      </c>
      <c r="M58" t="s">
        <v>39</v>
      </c>
      <c r="N58" t="s">
        <v>40</v>
      </c>
      <c r="O58">
        <f t="shared" si="1"/>
        <v>1</v>
      </c>
      <c r="Q58" t="s">
        <v>213</v>
      </c>
      <c r="R58" t="s">
        <v>375</v>
      </c>
      <c r="S58" t="s">
        <v>43</v>
      </c>
      <c r="U58">
        <v>2</v>
      </c>
      <c r="V58">
        <v>2</v>
      </c>
      <c r="W58" t="s">
        <v>44</v>
      </c>
      <c r="X58" t="s">
        <v>95</v>
      </c>
      <c r="Y58">
        <v>0</v>
      </c>
      <c r="Z58" t="s">
        <v>104</v>
      </c>
      <c r="AC58" t="str">
        <f t="shared" si="2"/>
        <v>RURAL</v>
      </c>
      <c r="AD58" t="s">
        <v>376</v>
      </c>
      <c r="AE58">
        <v>230</v>
      </c>
      <c r="AG58">
        <v>0</v>
      </c>
      <c r="AH58" t="s">
        <v>47</v>
      </c>
      <c r="AI58" t="s">
        <v>48</v>
      </c>
      <c r="AJ58">
        <v>1972</v>
      </c>
      <c r="AK58" t="s">
        <v>377</v>
      </c>
    </row>
    <row r="59" spans="2:37" x14ac:dyDescent="0.3">
      <c r="B59">
        <f t="shared" si="0"/>
        <v>1</v>
      </c>
      <c r="C59" t="s">
        <v>34</v>
      </c>
      <c r="D59" t="s">
        <v>142</v>
      </c>
      <c r="E59">
        <v>2683</v>
      </c>
      <c r="F59" t="s">
        <v>378</v>
      </c>
      <c r="G59" t="s">
        <v>37</v>
      </c>
      <c r="H59" t="s">
        <v>379</v>
      </c>
      <c r="I59">
        <v>2023</v>
      </c>
      <c r="J59">
        <v>3</v>
      </c>
      <c r="K59">
        <v>0</v>
      </c>
      <c r="L59">
        <v>0</v>
      </c>
      <c r="M59" t="s">
        <v>39</v>
      </c>
      <c r="N59" t="s">
        <v>40</v>
      </c>
      <c r="O59">
        <f t="shared" si="1"/>
        <v>1</v>
      </c>
      <c r="Q59" t="s">
        <v>249</v>
      </c>
      <c r="R59" t="s">
        <v>380</v>
      </c>
      <c r="S59" t="s">
        <v>43</v>
      </c>
      <c r="U59">
        <v>2</v>
      </c>
      <c r="V59">
        <v>4</v>
      </c>
      <c r="W59" t="s">
        <v>44</v>
      </c>
      <c r="X59" t="s">
        <v>45</v>
      </c>
      <c r="Y59">
        <v>0</v>
      </c>
      <c r="Z59" t="s">
        <v>45</v>
      </c>
      <c r="AC59" t="str">
        <f t="shared" si="2"/>
        <v>URBAN</v>
      </c>
      <c r="AD59" t="s">
        <v>147</v>
      </c>
      <c r="AE59">
        <v>881</v>
      </c>
      <c r="AG59">
        <v>0</v>
      </c>
      <c r="AH59" t="s">
        <v>47</v>
      </c>
      <c r="AI59" t="s">
        <v>48</v>
      </c>
      <c r="AJ59">
        <v>1968</v>
      </c>
      <c r="AK59" t="s">
        <v>381</v>
      </c>
    </row>
    <row r="60" spans="2:37" x14ac:dyDescent="0.3">
      <c r="B60">
        <f t="shared" si="0"/>
        <v>6</v>
      </c>
      <c r="C60" t="s">
        <v>109</v>
      </c>
      <c r="D60" t="s">
        <v>89</v>
      </c>
      <c r="E60">
        <v>640</v>
      </c>
      <c r="G60" t="s">
        <v>90</v>
      </c>
      <c r="H60">
        <v>558461655</v>
      </c>
      <c r="I60">
        <v>2023</v>
      </c>
      <c r="J60">
        <v>11</v>
      </c>
      <c r="K60">
        <v>0</v>
      </c>
      <c r="L60">
        <v>0</v>
      </c>
      <c r="M60" t="s">
        <v>39</v>
      </c>
      <c r="N60" t="s">
        <v>40</v>
      </c>
      <c r="O60">
        <f t="shared" si="1"/>
        <v>1</v>
      </c>
      <c r="Q60" t="s">
        <v>227</v>
      </c>
      <c r="R60" t="s">
        <v>382</v>
      </c>
      <c r="S60" t="s">
        <v>43</v>
      </c>
      <c r="U60">
        <v>0</v>
      </c>
      <c r="V60">
        <v>0</v>
      </c>
      <c r="W60" t="s">
        <v>44</v>
      </c>
      <c r="X60" t="s">
        <v>229</v>
      </c>
      <c r="Y60">
        <v>0</v>
      </c>
      <c r="Z60" t="s">
        <v>156</v>
      </c>
      <c r="AB60" t="s">
        <v>383</v>
      </c>
      <c r="AC60" t="str">
        <f t="shared" si="2"/>
        <v>RURAL</v>
      </c>
      <c r="AD60" t="s">
        <v>181</v>
      </c>
      <c r="AE60">
        <v>7010</v>
      </c>
      <c r="AG60">
        <v>0</v>
      </c>
      <c r="AH60" t="s">
        <v>89</v>
      </c>
      <c r="AI60" t="s">
        <v>48</v>
      </c>
      <c r="AJ60">
        <v>2005</v>
      </c>
      <c r="AK60" t="s">
        <v>384</v>
      </c>
    </row>
    <row r="61" spans="2:37" x14ac:dyDescent="0.3">
      <c r="B61">
        <f t="shared" si="0"/>
        <v>1</v>
      </c>
      <c r="C61" t="s">
        <v>34</v>
      </c>
      <c r="D61" t="s">
        <v>89</v>
      </c>
      <c r="E61">
        <v>904</v>
      </c>
      <c r="G61" t="s">
        <v>90</v>
      </c>
      <c r="H61" t="s">
        <v>385</v>
      </c>
      <c r="I61">
        <v>2023</v>
      </c>
      <c r="J61">
        <v>2</v>
      </c>
      <c r="K61">
        <v>0</v>
      </c>
      <c r="L61">
        <v>0</v>
      </c>
      <c r="M61" t="s">
        <v>39</v>
      </c>
      <c r="N61" t="s">
        <v>40</v>
      </c>
      <c r="O61">
        <f t="shared" si="1"/>
        <v>1</v>
      </c>
      <c r="Q61" t="s">
        <v>386</v>
      </c>
      <c r="R61">
        <v>900</v>
      </c>
      <c r="S61" t="s">
        <v>43</v>
      </c>
      <c r="U61">
        <v>0</v>
      </c>
      <c r="V61">
        <v>0</v>
      </c>
      <c r="W61" t="s">
        <v>44</v>
      </c>
      <c r="X61" t="s">
        <v>237</v>
      </c>
      <c r="Y61">
        <v>0</v>
      </c>
      <c r="Z61" t="s">
        <v>45</v>
      </c>
      <c r="AB61" t="s">
        <v>387</v>
      </c>
      <c r="AC61" t="str">
        <f t="shared" si="2"/>
        <v>RURAL</v>
      </c>
      <c r="AD61" t="s">
        <v>133</v>
      </c>
      <c r="AE61">
        <v>9092</v>
      </c>
      <c r="AG61">
        <v>0</v>
      </c>
      <c r="AH61" t="s">
        <v>89</v>
      </c>
      <c r="AI61" t="s">
        <v>48</v>
      </c>
      <c r="AJ61">
        <v>1993</v>
      </c>
      <c r="AK61" t="s">
        <v>388</v>
      </c>
    </row>
    <row r="62" spans="2:37" x14ac:dyDescent="0.3">
      <c r="B62">
        <f t="shared" si="0"/>
        <v>12</v>
      </c>
      <c r="C62" t="s">
        <v>261</v>
      </c>
      <c r="D62" t="s">
        <v>35</v>
      </c>
      <c r="E62">
        <v>4200</v>
      </c>
      <c r="F62" t="s">
        <v>389</v>
      </c>
      <c r="G62" t="s">
        <v>37</v>
      </c>
      <c r="H62" t="s">
        <v>390</v>
      </c>
      <c r="I62">
        <v>2023</v>
      </c>
      <c r="J62">
        <v>1</v>
      </c>
      <c r="K62">
        <v>0</v>
      </c>
      <c r="L62">
        <v>0</v>
      </c>
      <c r="M62" t="s">
        <v>39</v>
      </c>
      <c r="N62" t="s">
        <v>40</v>
      </c>
      <c r="O62">
        <f t="shared" si="1"/>
        <v>1</v>
      </c>
      <c r="Q62" t="s">
        <v>391</v>
      </c>
      <c r="R62" t="s">
        <v>392</v>
      </c>
      <c r="S62" t="s">
        <v>43</v>
      </c>
      <c r="U62">
        <v>2</v>
      </c>
      <c r="V62">
        <v>2</v>
      </c>
      <c r="W62" t="s">
        <v>44</v>
      </c>
      <c r="X62" t="s">
        <v>95</v>
      </c>
      <c r="Y62">
        <v>0</v>
      </c>
      <c r="Z62" t="s">
        <v>95</v>
      </c>
      <c r="AC62" t="str">
        <f t="shared" si="2"/>
        <v>RURAL</v>
      </c>
      <c r="AD62" t="s">
        <v>70</v>
      </c>
      <c r="AE62">
        <v>4501</v>
      </c>
      <c r="AG62">
        <v>0</v>
      </c>
      <c r="AH62" t="s">
        <v>47</v>
      </c>
      <c r="AI62" t="s">
        <v>48</v>
      </c>
      <c r="AJ62">
        <v>1969</v>
      </c>
      <c r="AK62" t="s">
        <v>393</v>
      </c>
    </row>
    <row r="63" spans="2:37" x14ac:dyDescent="0.3">
      <c r="B63">
        <f t="shared" si="0"/>
        <v>1</v>
      </c>
      <c r="C63" t="s">
        <v>34</v>
      </c>
      <c r="D63" t="s">
        <v>99</v>
      </c>
      <c r="E63">
        <v>7000</v>
      </c>
      <c r="F63" t="s">
        <v>394</v>
      </c>
      <c r="G63" t="s">
        <v>37</v>
      </c>
      <c r="H63" t="s">
        <v>395</v>
      </c>
      <c r="I63">
        <v>2023</v>
      </c>
      <c r="J63">
        <v>11</v>
      </c>
      <c r="K63">
        <v>2103</v>
      </c>
      <c r="L63">
        <v>0</v>
      </c>
      <c r="M63" t="s">
        <v>39</v>
      </c>
      <c r="N63" t="s">
        <v>40</v>
      </c>
      <c r="O63">
        <f t="shared" si="1"/>
        <v>1</v>
      </c>
      <c r="P63" t="s">
        <v>235</v>
      </c>
      <c r="Q63" t="s">
        <v>102</v>
      </c>
      <c r="R63" t="s">
        <v>396</v>
      </c>
      <c r="S63" t="s">
        <v>43</v>
      </c>
      <c r="U63">
        <v>2</v>
      </c>
      <c r="V63">
        <v>5</v>
      </c>
      <c r="W63" t="s">
        <v>44</v>
      </c>
      <c r="X63" t="s">
        <v>45</v>
      </c>
      <c r="Y63">
        <v>0</v>
      </c>
      <c r="Z63" t="s">
        <v>45</v>
      </c>
      <c r="AB63" t="s">
        <v>397</v>
      </c>
      <c r="AC63" t="str">
        <f t="shared" si="2"/>
        <v>URBAN</v>
      </c>
      <c r="AD63" t="s">
        <v>147</v>
      </c>
      <c r="AE63">
        <v>1022</v>
      </c>
      <c r="AG63">
        <v>0</v>
      </c>
      <c r="AH63" t="s">
        <v>47</v>
      </c>
      <c r="AI63" t="s">
        <v>48</v>
      </c>
      <c r="AJ63">
        <v>1969</v>
      </c>
      <c r="AK63" t="s">
        <v>398</v>
      </c>
    </row>
    <row r="64" spans="2:37" x14ac:dyDescent="0.3">
      <c r="B64">
        <f t="shared" si="0"/>
        <v>8</v>
      </c>
      <c r="C64" t="s">
        <v>122</v>
      </c>
      <c r="D64" t="s">
        <v>89</v>
      </c>
      <c r="E64">
        <v>249</v>
      </c>
      <c r="F64" t="s">
        <v>399</v>
      </c>
      <c r="G64" t="s">
        <v>90</v>
      </c>
      <c r="H64" t="s">
        <v>400</v>
      </c>
      <c r="I64">
        <v>2023</v>
      </c>
      <c r="J64">
        <v>9</v>
      </c>
      <c r="K64">
        <v>0</v>
      </c>
      <c r="L64">
        <v>0</v>
      </c>
      <c r="M64" t="s">
        <v>39</v>
      </c>
      <c r="N64" t="s">
        <v>40</v>
      </c>
      <c r="O64">
        <f t="shared" si="1"/>
        <v>1</v>
      </c>
      <c r="P64" t="s">
        <v>401</v>
      </c>
      <c r="Q64" t="s">
        <v>361</v>
      </c>
      <c r="R64" t="s">
        <v>402</v>
      </c>
      <c r="S64" t="s">
        <v>43</v>
      </c>
      <c r="U64">
        <v>0</v>
      </c>
      <c r="V64">
        <v>0</v>
      </c>
      <c r="W64" t="s">
        <v>44</v>
      </c>
      <c r="X64" t="s">
        <v>69</v>
      </c>
      <c r="Y64">
        <v>0</v>
      </c>
      <c r="Z64" t="s">
        <v>69</v>
      </c>
      <c r="AB64" t="s">
        <v>403</v>
      </c>
      <c r="AC64" t="str">
        <f t="shared" si="2"/>
        <v>URBAN</v>
      </c>
      <c r="AD64" t="s">
        <v>147</v>
      </c>
      <c r="AE64">
        <v>618</v>
      </c>
      <c r="AG64">
        <v>0</v>
      </c>
      <c r="AH64" t="s">
        <v>89</v>
      </c>
      <c r="AI64" t="s">
        <v>48</v>
      </c>
      <c r="AJ64">
        <v>1991</v>
      </c>
      <c r="AK64" t="s">
        <v>404</v>
      </c>
    </row>
    <row r="65" spans="2:37" x14ac:dyDescent="0.3">
      <c r="B65">
        <f t="shared" si="0"/>
        <v>8</v>
      </c>
      <c r="C65" t="s">
        <v>122</v>
      </c>
      <c r="D65" t="s">
        <v>89</v>
      </c>
      <c r="E65">
        <v>248</v>
      </c>
      <c r="F65" t="s">
        <v>399</v>
      </c>
      <c r="G65" t="s">
        <v>90</v>
      </c>
      <c r="H65" t="s">
        <v>405</v>
      </c>
      <c r="I65">
        <v>2023</v>
      </c>
      <c r="J65">
        <v>8</v>
      </c>
      <c r="K65">
        <v>0</v>
      </c>
      <c r="L65">
        <v>0</v>
      </c>
      <c r="M65" t="s">
        <v>39</v>
      </c>
      <c r="N65" t="s">
        <v>40</v>
      </c>
      <c r="O65">
        <f t="shared" si="1"/>
        <v>1</v>
      </c>
      <c r="P65" t="s">
        <v>401</v>
      </c>
      <c r="Q65" t="s">
        <v>361</v>
      </c>
      <c r="R65" t="s">
        <v>402</v>
      </c>
      <c r="S65" t="s">
        <v>43</v>
      </c>
      <c r="U65">
        <v>0</v>
      </c>
      <c r="V65">
        <v>0</v>
      </c>
      <c r="W65" t="s">
        <v>44</v>
      </c>
      <c r="X65" t="s">
        <v>69</v>
      </c>
      <c r="Y65">
        <v>0</v>
      </c>
      <c r="Z65" t="s">
        <v>69</v>
      </c>
      <c r="AB65" t="s">
        <v>403</v>
      </c>
      <c r="AC65" t="str">
        <f t="shared" si="2"/>
        <v>URBAN</v>
      </c>
      <c r="AD65" t="s">
        <v>46</v>
      </c>
      <c r="AE65">
        <v>8051</v>
      </c>
      <c r="AG65">
        <v>0</v>
      </c>
      <c r="AH65" t="s">
        <v>89</v>
      </c>
      <c r="AI65" t="s">
        <v>48</v>
      </c>
      <c r="AJ65">
        <v>1991</v>
      </c>
      <c r="AK65" t="s">
        <v>404</v>
      </c>
    </row>
    <row r="66" spans="2:37" x14ac:dyDescent="0.3">
      <c r="B66">
        <f t="shared" si="0"/>
        <v>5</v>
      </c>
      <c r="C66" t="s">
        <v>88</v>
      </c>
      <c r="D66" t="s">
        <v>89</v>
      </c>
      <c r="E66">
        <v>49</v>
      </c>
      <c r="F66" t="s">
        <v>406</v>
      </c>
      <c r="G66" t="s">
        <v>407</v>
      </c>
      <c r="H66" t="s">
        <v>408</v>
      </c>
      <c r="I66">
        <v>2023</v>
      </c>
      <c r="J66">
        <v>9</v>
      </c>
      <c r="K66">
        <v>0</v>
      </c>
      <c r="L66">
        <v>0</v>
      </c>
      <c r="M66" t="s">
        <v>39</v>
      </c>
      <c r="N66" t="s">
        <v>40</v>
      </c>
      <c r="O66">
        <f t="shared" si="1"/>
        <v>1</v>
      </c>
      <c r="Q66" t="s">
        <v>206</v>
      </c>
      <c r="R66" t="s">
        <v>409</v>
      </c>
      <c r="S66" t="s">
        <v>43</v>
      </c>
      <c r="U66">
        <v>0</v>
      </c>
      <c r="V66">
        <v>0</v>
      </c>
      <c r="W66" t="s">
        <v>44</v>
      </c>
      <c r="X66" t="s">
        <v>69</v>
      </c>
      <c r="Y66">
        <v>0</v>
      </c>
      <c r="Z66" t="s">
        <v>230</v>
      </c>
      <c r="AB66">
        <v>50</v>
      </c>
      <c r="AC66" t="str">
        <f t="shared" si="2"/>
        <v>RURAL</v>
      </c>
      <c r="AD66" t="s">
        <v>410</v>
      </c>
      <c r="AE66">
        <v>4977</v>
      </c>
      <c r="AG66">
        <v>0</v>
      </c>
      <c r="AH66" t="s">
        <v>411</v>
      </c>
      <c r="AI66" t="s">
        <v>48</v>
      </c>
      <c r="AJ66">
        <v>2023</v>
      </c>
      <c r="AK66" t="s">
        <v>412</v>
      </c>
    </row>
    <row r="67" spans="2:37" x14ac:dyDescent="0.3">
      <c r="B67">
        <f t="shared" ref="B67:B130" si="3">IF(C67="RED",1,IF(C67="Green",2,IF(C67="WHITE",3,IF(C67="YELLOW",4,IF(C67="PINK",5,IF(C67="ORANGE",6,IF(C67="BLACK",7,IF(C67="SILVER",8,IF(C67="Cream",9,IF(C67="BLUE",10,IF(C67="BROWN",11,IF(C67="GREY",12,IF(C67="PURPLE",13,IF(C67="GOLD",14,0))))))))))))))</f>
        <v>7</v>
      </c>
      <c r="C67" t="s">
        <v>115</v>
      </c>
      <c r="D67" t="s">
        <v>142</v>
      </c>
      <c r="E67">
        <v>5733</v>
      </c>
      <c r="F67" t="s">
        <v>413</v>
      </c>
      <c r="G67" t="s">
        <v>37</v>
      </c>
      <c r="H67">
        <v>392</v>
      </c>
      <c r="I67">
        <v>2023</v>
      </c>
      <c r="J67">
        <v>12</v>
      </c>
      <c r="K67">
        <v>1868</v>
      </c>
      <c r="L67">
        <v>0</v>
      </c>
      <c r="M67" t="s">
        <v>39</v>
      </c>
      <c r="N67" t="s">
        <v>40</v>
      </c>
      <c r="O67">
        <f t="shared" ref="O67:O130" si="4">IF(N67="PRIVATE",1,IF(N67="WHOLESALE/RETAIL/TRADE",2,IF(N67="AGRICULTURE/FORESTRY/FISHING",3,IF(N67="COMMERCIAL ROAD TRANSPORT",4,IF(N67="BUSINESS/FINANCIAL",5,IF(N67="ELECTRICITY/GAS/WATER",6,IF(N67="CONSTRUCTING",7,0)))))))</f>
        <v>1</v>
      </c>
      <c r="Q67" t="s">
        <v>249</v>
      </c>
      <c r="R67" t="s">
        <v>414</v>
      </c>
      <c r="S67" t="s">
        <v>43</v>
      </c>
      <c r="U67">
        <v>2</v>
      </c>
      <c r="V67">
        <v>2</v>
      </c>
      <c r="W67" t="s">
        <v>44</v>
      </c>
      <c r="X67" t="s">
        <v>45</v>
      </c>
      <c r="Y67">
        <v>0</v>
      </c>
      <c r="Z67" t="s">
        <v>45</v>
      </c>
      <c r="AB67" t="s">
        <v>415</v>
      </c>
      <c r="AC67" t="str">
        <f t="shared" ref="AC67:AC130" si="5">IF(OR(AD67="CHRISTCHURCH CITY",AD67="AUCKLAND",AD67="HAMILTON CITY",AD67="WELLINGTON CITY"),"URBAN", "RURAL")</f>
        <v>RURAL</v>
      </c>
      <c r="AD67" t="s">
        <v>281</v>
      </c>
      <c r="AE67">
        <v>7475</v>
      </c>
      <c r="AG67">
        <v>0</v>
      </c>
      <c r="AH67" t="s">
        <v>47</v>
      </c>
      <c r="AI67" t="s">
        <v>48</v>
      </c>
      <c r="AJ67">
        <v>1979</v>
      </c>
      <c r="AK67" t="s">
        <v>416</v>
      </c>
    </row>
    <row r="68" spans="2:37" x14ac:dyDescent="0.3">
      <c r="B68">
        <f t="shared" si="3"/>
        <v>14</v>
      </c>
      <c r="C68" t="s">
        <v>417</v>
      </c>
      <c r="D68" t="s">
        <v>99</v>
      </c>
      <c r="E68">
        <v>5801</v>
      </c>
      <c r="F68" t="s">
        <v>418</v>
      </c>
      <c r="G68" t="s">
        <v>37</v>
      </c>
      <c r="H68" t="s">
        <v>419</v>
      </c>
      <c r="I68">
        <v>2023</v>
      </c>
      <c r="J68">
        <v>8</v>
      </c>
      <c r="K68">
        <v>0</v>
      </c>
      <c r="L68">
        <v>0</v>
      </c>
      <c r="M68" t="s">
        <v>39</v>
      </c>
      <c r="N68" t="s">
        <v>40</v>
      </c>
      <c r="O68">
        <f t="shared" si="4"/>
        <v>1</v>
      </c>
      <c r="Q68" t="s">
        <v>420</v>
      </c>
      <c r="R68" t="s">
        <v>421</v>
      </c>
      <c r="S68" t="s">
        <v>43</v>
      </c>
      <c r="U68">
        <v>2</v>
      </c>
      <c r="V68">
        <v>2</v>
      </c>
      <c r="W68" t="s">
        <v>44</v>
      </c>
      <c r="X68" t="s">
        <v>45</v>
      </c>
      <c r="Y68">
        <v>0</v>
      </c>
      <c r="Z68" t="s">
        <v>45</v>
      </c>
      <c r="AB68" t="s">
        <v>422</v>
      </c>
      <c r="AC68" t="str">
        <f t="shared" si="5"/>
        <v>RURAL</v>
      </c>
      <c r="AD68" t="s">
        <v>281</v>
      </c>
      <c r="AE68">
        <v>7473</v>
      </c>
      <c r="AG68">
        <v>0</v>
      </c>
      <c r="AH68" t="s">
        <v>47</v>
      </c>
      <c r="AI68" t="s">
        <v>48</v>
      </c>
      <c r="AJ68">
        <v>1941</v>
      </c>
      <c r="AK68" t="s">
        <v>423</v>
      </c>
    </row>
    <row r="69" spans="2:37" x14ac:dyDescent="0.3">
      <c r="B69">
        <f t="shared" si="3"/>
        <v>12</v>
      </c>
      <c r="C69" t="s">
        <v>261</v>
      </c>
      <c r="D69" t="s">
        <v>61</v>
      </c>
      <c r="E69">
        <v>7412</v>
      </c>
      <c r="F69" t="s">
        <v>424</v>
      </c>
      <c r="G69" t="s">
        <v>63</v>
      </c>
      <c r="H69" t="s">
        <v>425</v>
      </c>
      <c r="I69">
        <v>2023</v>
      </c>
      <c r="J69">
        <v>1</v>
      </c>
      <c r="K69">
        <v>9200</v>
      </c>
      <c r="L69">
        <v>3300</v>
      </c>
      <c r="M69" t="s">
        <v>39</v>
      </c>
      <c r="N69" t="s">
        <v>40</v>
      </c>
      <c r="O69">
        <f t="shared" si="4"/>
        <v>1</v>
      </c>
      <c r="P69" t="s">
        <v>426</v>
      </c>
      <c r="Q69" t="s">
        <v>427</v>
      </c>
      <c r="R69" t="s">
        <v>428</v>
      </c>
      <c r="S69" t="s">
        <v>68</v>
      </c>
      <c r="U69">
        <v>2</v>
      </c>
      <c r="V69">
        <v>3</v>
      </c>
      <c r="W69" t="s">
        <v>44</v>
      </c>
      <c r="X69" t="s">
        <v>69</v>
      </c>
      <c r="Y69">
        <v>0</v>
      </c>
      <c r="Z69" t="s">
        <v>69</v>
      </c>
      <c r="AB69" t="s">
        <v>429</v>
      </c>
      <c r="AC69" t="str">
        <f t="shared" si="5"/>
        <v>RURAL</v>
      </c>
      <c r="AD69" t="s">
        <v>430</v>
      </c>
      <c r="AE69">
        <v>3981</v>
      </c>
      <c r="AG69">
        <v>14200</v>
      </c>
      <c r="AH69" t="s">
        <v>71</v>
      </c>
      <c r="AI69" t="s">
        <v>48</v>
      </c>
      <c r="AJ69">
        <v>1994</v>
      </c>
      <c r="AK69" t="s">
        <v>431</v>
      </c>
    </row>
    <row r="70" spans="2:37" x14ac:dyDescent="0.3">
      <c r="B70">
        <f t="shared" si="3"/>
        <v>10</v>
      </c>
      <c r="C70" t="s">
        <v>184</v>
      </c>
      <c r="D70" t="s">
        <v>35</v>
      </c>
      <c r="E70">
        <v>2000</v>
      </c>
      <c r="F70" t="s">
        <v>432</v>
      </c>
      <c r="G70" t="s">
        <v>37</v>
      </c>
      <c r="H70">
        <v>132031</v>
      </c>
      <c r="I70">
        <v>2023</v>
      </c>
      <c r="J70">
        <v>6</v>
      </c>
      <c r="K70">
        <v>1279</v>
      </c>
      <c r="L70">
        <v>0</v>
      </c>
      <c r="M70" t="s">
        <v>39</v>
      </c>
      <c r="N70" t="s">
        <v>40</v>
      </c>
      <c r="O70">
        <f t="shared" si="4"/>
        <v>1</v>
      </c>
      <c r="Q70" t="s">
        <v>433</v>
      </c>
      <c r="R70" t="s">
        <v>434</v>
      </c>
      <c r="S70" t="s">
        <v>43</v>
      </c>
      <c r="U70">
        <v>2</v>
      </c>
      <c r="V70">
        <v>4</v>
      </c>
      <c r="W70" t="s">
        <v>44</v>
      </c>
      <c r="X70" t="s">
        <v>237</v>
      </c>
      <c r="Y70">
        <v>0</v>
      </c>
      <c r="Z70" t="s">
        <v>45</v>
      </c>
      <c r="AB70" t="s">
        <v>435</v>
      </c>
      <c r="AC70" t="str">
        <f t="shared" si="5"/>
        <v>URBAN</v>
      </c>
      <c r="AD70" t="s">
        <v>46</v>
      </c>
      <c r="AE70">
        <v>8014</v>
      </c>
      <c r="AG70">
        <v>0</v>
      </c>
      <c r="AH70" t="s">
        <v>47</v>
      </c>
      <c r="AI70" t="s">
        <v>48</v>
      </c>
      <c r="AJ70">
        <v>1979</v>
      </c>
      <c r="AK70" t="s">
        <v>436</v>
      </c>
    </row>
    <row r="71" spans="2:37" x14ac:dyDescent="0.3">
      <c r="B71">
        <f t="shared" si="3"/>
        <v>3</v>
      </c>
      <c r="C71" t="s">
        <v>60</v>
      </c>
      <c r="D71" t="s">
        <v>176</v>
      </c>
      <c r="E71">
        <v>7540</v>
      </c>
      <c r="F71" t="s">
        <v>437</v>
      </c>
      <c r="G71" t="s">
        <v>63</v>
      </c>
      <c r="H71" t="s">
        <v>438</v>
      </c>
      <c r="I71">
        <v>2023</v>
      </c>
      <c r="J71">
        <v>3</v>
      </c>
      <c r="K71">
        <v>9200</v>
      </c>
      <c r="L71">
        <v>3100</v>
      </c>
      <c r="M71" t="s">
        <v>39</v>
      </c>
      <c r="N71" t="s">
        <v>40</v>
      </c>
      <c r="O71">
        <f t="shared" si="4"/>
        <v>1</v>
      </c>
      <c r="P71" t="s">
        <v>439</v>
      </c>
      <c r="Q71" t="s">
        <v>130</v>
      </c>
      <c r="R71" t="s">
        <v>440</v>
      </c>
      <c r="S71" t="s">
        <v>68</v>
      </c>
      <c r="U71">
        <v>2</v>
      </c>
      <c r="V71">
        <v>2</v>
      </c>
      <c r="W71" t="s">
        <v>44</v>
      </c>
      <c r="X71" t="s">
        <v>69</v>
      </c>
      <c r="Y71">
        <v>0</v>
      </c>
      <c r="Z71" t="s">
        <v>69</v>
      </c>
      <c r="AC71" t="str">
        <f t="shared" si="5"/>
        <v>RURAL</v>
      </c>
      <c r="AD71" t="s">
        <v>341</v>
      </c>
      <c r="AE71">
        <v>3681</v>
      </c>
      <c r="AG71">
        <v>14200</v>
      </c>
      <c r="AH71" t="s">
        <v>182</v>
      </c>
      <c r="AI71" t="s">
        <v>48</v>
      </c>
      <c r="AJ71">
        <v>1994</v>
      </c>
      <c r="AK71" t="s">
        <v>441</v>
      </c>
    </row>
    <row r="72" spans="2:37" x14ac:dyDescent="0.3">
      <c r="B72">
        <f t="shared" si="3"/>
        <v>1</v>
      </c>
      <c r="C72" t="s">
        <v>34</v>
      </c>
      <c r="D72" t="s">
        <v>99</v>
      </c>
      <c r="E72">
        <v>5735</v>
      </c>
      <c r="F72" t="s">
        <v>442</v>
      </c>
      <c r="G72" t="s">
        <v>37</v>
      </c>
      <c r="H72" t="s">
        <v>443</v>
      </c>
      <c r="I72">
        <v>2023</v>
      </c>
      <c r="J72">
        <v>1</v>
      </c>
      <c r="K72">
        <v>0</v>
      </c>
      <c r="L72">
        <v>0</v>
      </c>
      <c r="M72" t="s">
        <v>39</v>
      </c>
      <c r="N72" t="s">
        <v>40</v>
      </c>
      <c r="O72">
        <f t="shared" si="4"/>
        <v>1</v>
      </c>
      <c r="Q72" t="s">
        <v>102</v>
      </c>
      <c r="R72" t="s">
        <v>444</v>
      </c>
      <c r="S72" t="s">
        <v>43</v>
      </c>
      <c r="U72">
        <v>0</v>
      </c>
      <c r="V72">
        <v>2</v>
      </c>
      <c r="W72" t="s">
        <v>44</v>
      </c>
      <c r="X72" t="s">
        <v>45</v>
      </c>
      <c r="Y72">
        <v>0</v>
      </c>
      <c r="Z72" t="s">
        <v>45</v>
      </c>
      <c r="AC72" t="str">
        <f t="shared" si="5"/>
        <v>URBAN</v>
      </c>
      <c r="AD72" t="s">
        <v>147</v>
      </c>
      <c r="AE72">
        <v>602</v>
      </c>
      <c r="AG72">
        <v>0</v>
      </c>
      <c r="AH72" t="s">
        <v>47</v>
      </c>
      <c r="AI72" t="s">
        <v>48</v>
      </c>
      <c r="AJ72">
        <v>1929</v>
      </c>
      <c r="AK72" t="s">
        <v>445</v>
      </c>
    </row>
    <row r="73" spans="2:37" x14ac:dyDescent="0.3">
      <c r="B73">
        <f t="shared" si="3"/>
        <v>1</v>
      </c>
      <c r="C73" t="s">
        <v>34</v>
      </c>
      <c r="D73" t="s">
        <v>89</v>
      </c>
      <c r="E73">
        <v>105</v>
      </c>
      <c r="G73" t="s">
        <v>90</v>
      </c>
      <c r="H73" t="s">
        <v>446</v>
      </c>
      <c r="I73">
        <v>2023</v>
      </c>
      <c r="J73">
        <v>12</v>
      </c>
      <c r="K73">
        <v>0</v>
      </c>
      <c r="L73">
        <v>0</v>
      </c>
      <c r="M73" t="s">
        <v>39</v>
      </c>
      <c r="N73" t="s">
        <v>40</v>
      </c>
      <c r="O73">
        <f t="shared" si="4"/>
        <v>1</v>
      </c>
      <c r="Q73" t="s">
        <v>206</v>
      </c>
      <c r="R73" t="s">
        <v>447</v>
      </c>
      <c r="S73" t="s">
        <v>43</v>
      </c>
      <c r="T73" t="s">
        <v>448</v>
      </c>
      <c r="U73">
        <v>0</v>
      </c>
      <c r="V73">
        <v>0</v>
      </c>
      <c r="W73" t="s">
        <v>44</v>
      </c>
      <c r="X73" t="s">
        <v>69</v>
      </c>
      <c r="Y73">
        <v>6</v>
      </c>
      <c r="Z73" t="s">
        <v>230</v>
      </c>
      <c r="AB73">
        <v>110</v>
      </c>
      <c r="AC73" t="str">
        <f t="shared" si="5"/>
        <v>URBAN</v>
      </c>
      <c r="AD73" t="s">
        <v>46</v>
      </c>
      <c r="AE73">
        <v>8051</v>
      </c>
      <c r="AG73">
        <v>0</v>
      </c>
      <c r="AH73" t="s">
        <v>89</v>
      </c>
      <c r="AI73" t="s">
        <v>48</v>
      </c>
      <c r="AJ73">
        <v>2023</v>
      </c>
      <c r="AK73" t="s">
        <v>449</v>
      </c>
    </row>
    <row r="74" spans="2:37" x14ac:dyDescent="0.3">
      <c r="B74">
        <f t="shared" si="3"/>
        <v>10</v>
      </c>
      <c r="C74" t="s">
        <v>184</v>
      </c>
      <c r="D74" t="s">
        <v>149</v>
      </c>
      <c r="E74">
        <v>0</v>
      </c>
      <c r="F74" t="s">
        <v>450</v>
      </c>
      <c r="G74" t="s">
        <v>150</v>
      </c>
      <c r="I74">
        <v>2023</v>
      </c>
      <c r="J74">
        <v>4</v>
      </c>
      <c r="K74">
        <v>32000</v>
      </c>
      <c r="L74">
        <v>1</v>
      </c>
      <c r="M74" t="s">
        <v>39</v>
      </c>
      <c r="N74" t="s">
        <v>151</v>
      </c>
      <c r="O74">
        <f t="shared" si="4"/>
        <v>4</v>
      </c>
      <c r="Q74" t="s">
        <v>153</v>
      </c>
      <c r="R74" t="s">
        <v>451</v>
      </c>
      <c r="U74">
        <v>3</v>
      </c>
      <c r="V74">
        <v>0</v>
      </c>
      <c r="W74" t="s">
        <v>155</v>
      </c>
      <c r="X74" t="s">
        <v>156</v>
      </c>
      <c r="Y74">
        <v>0</v>
      </c>
      <c r="Z74" t="s">
        <v>156</v>
      </c>
      <c r="AA74" t="s">
        <v>222</v>
      </c>
      <c r="AC74" t="str">
        <f t="shared" si="5"/>
        <v>URBAN</v>
      </c>
      <c r="AD74" t="s">
        <v>147</v>
      </c>
      <c r="AE74">
        <v>792</v>
      </c>
      <c r="AG74">
        <v>17500</v>
      </c>
      <c r="AH74" t="s">
        <v>160</v>
      </c>
      <c r="AI74" t="s">
        <v>161</v>
      </c>
      <c r="AJ74">
        <v>2002</v>
      </c>
      <c r="AK74" t="s">
        <v>452</v>
      </c>
    </row>
    <row r="75" spans="2:37" x14ac:dyDescent="0.3">
      <c r="B75">
        <f t="shared" si="3"/>
        <v>1</v>
      </c>
      <c r="C75" t="s">
        <v>34</v>
      </c>
      <c r="D75" t="s">
        <v>142</v>
      </c>
      <c r="E75">
        <v>4637</v>
      </c>
      <c r="F75" t="s">
        <v>453</v>
      </c>
      <c r="G75" t="s">
        <v>37</v>
      </c>
      <c r="H75" t="s">
        <v>38</v>
      </c>
      <c r="I75">
        <v>2023</v>
      </c>
      <c r="J75">
        <v>2</v>
      </c>
      <c r="K75">
        <v>0</v>
      </c>
      <c r="L75">
        <v>0</v>
      </c>
      <c r="M75" t="s">
        <v>39</v>
      </c>
      <c r="N75" t="s">
        <v>40</v>
      </c>
      <c r="O75">
        <f t="shared" si="4"/>
        <v>1</v>
      </c>
      <c r="Q75" t="s">
        <v>249</v>
      </c>
      <c r="R75" t="s">
        <v>454</v>
      </c>
      <c r="S75" t="s">
        <v>43</v>
      </c>
      <c r="U75">
        <v>2</v>
      </c>
      <c r="V75">
        <v>6</v>
      </c>
      <c r="W75" t="s">
        <v>44</v>
      </c>
      <c r="X75" t="s">
        <v>45</v>
      </c>
      <c r="Y75">
        <v>0</v>
      </c>
      <c r="Z75" t="s">
        <v>45</v>
      </c>
      <c r="AC75" t="str">
        <f t="shared" si="5"/>
        <v>RURAL</v>
      </c>
      <c r="AD75" t="s">
        <v>107</v>
      </c>
      <c r="AE75">
        <v>9812</v>
      </c>
      <c r="AG75">
        <v>0</v>
      </c>
      <c r="AH75" t="s">
        <v>47</v>
      </c>
      <c r="AI75" t="s">
        <v>48</v>
      </c>
      <c r="AJ75">
        <v>1957</v>
      </c>
      <c r="AK75" t="s">
        <v>455</v>
      </c>
    </row>
    <row r="76" spans="2:37" x14ac:dyDescent="0.3">
      <c r="B76">
        <f t="shared" si="3"/>
        <v>3</v>
      </c>
      <c r="C76" t="s">
        <v>60</v>
      </c>
      <c r="D76" t="s">
        <v>89</v>
      </c>
      <c r="E76">
        <v>987</v>
      </c>
      <c r="F76">
        <v>88651</v>
      </c>
      <c r="G76" t="s">
        <v>90</v>
      </c>
      <c r="H76" t="s">
        <v>456</v>
      </c>
      <c r="I76">
        <v>2023</v>
      </c>
      <c r="J76">
        <v>1</v>
      </c>
      <c r="K76">
        <v>0</v>
      </c>
      <c r="L76">
        <v>0</v>
      </c>
      <c r="M76" t="s">
        <v>39</v>
      </c>
      <c r="N76" t="s">
        <v>40</v>
      </c>
      <c r="O76">
        <f t="shared" si="4"/>
        <v>1</v>
      </c>
      <c r="P76" t="s">
        <v>457</v>
      </c>
      <c r="Q76" t="s">
        <v>328</v>
      </c>
      <c r="R76" t="s">
        <v>458</v>
      </c>
      <c r="S76" t="s">
        <v>43</v>
      </c>
      <c r="U76">
        <v>0</v>
      </c>
      <c r="V76">
        <v>0</v>
      </c>
      <c r="W76" t="s">
        <v>44</v>
      </c>
      <c r="X76" t="s">
        <v>221</v>
      </c>
      <c r="Y76">
        <v>0</v>
      </c>
      <c r="Z76" t="s">
        <v>69</v>
      </c>
      <c r="AB76" t="s">
        <v>459</v>
      </c>
      <c r="AC76" t="str">
        <f t="shared" si="5"/>
        <v>RURAL</v>
      </c>
      <c r="AD76" t="s">
        <v>120</v>
      </c>
      <c r="AE76">
        <v>5010</v>
      </c>
      <c r="AG76">
        <v>0</v>
      </c>
      <c r="AH76" t="s">
        <v>89</v>
      </c>
      <c r="AI76" t="s">
        <v>48</v>
      </c>
      <c r="AJ76">
        <v>1986</v>
      </c>
      <c r="AK76" t="s">
        <v>460</v>
      </c>
    </row>
    <row r="77" spans="2:37" x14ac:dyDescent="0.3">
      <c r="B77">
        <f t="shared" si="3"/>
        <v>1</v>
      </c>
      <c r="C77" t="s">
        <v>34</v>
      </c>
      <c r="D77" t="s">
        <v>99</v>
      </c>
      <c r="E77">
        <v>4635</v>
      </c>
      <c r="F77" t="s">
        <v>461</v>
      </c>
      <c r="G77" t="s">
        <v>37</v>
      </c>
      <c r="H77" t="s">
        <v>462</v>
      </c>
      <c r="I77">
        <v>2023</v>
      </c>
      <c r="J77">
        <v>1</v>
      </c>
      <c r="K77">
        <v>0</v>
      </c>
      <c r="L77">
        <v>0</v>
      </c>
      <c r="M77" t="s">
        <v>39</v>
      </c>
      <c r="N77" t="s">
        <v>40</v>
      </c>
      <c r="O77">
        <f t="shared" si="4"/>
        <v>1</v>
      </c>
      <c r="Q77" t="s">
        <v>249</v>
      </c>
      <c r="R77" t="s">
        <v>463</v>
      </c>
      <c r="S77" t="s">
        <v>43</v>
      </c>
      <c r="U77">
        <v>2</v>
      </c>
      <c r="V77">
        <v>6</v>
      </c>
      <c r="W77" t="s">
        <v>44</v>
      </c>
      <c r="X77" t="s">
        <v>45</v>
      </c>
      <c r="Y77">
        <v>0</v>
      </c>
      <c r="Z77" t="s">
        <v>45</v>
      </c>
      <c r="AC77" t="str">
        <f t="shared" si="5"/>
        <v>RURAL</v>
      </c>
      <c r="AD77" t="s">
        <v>281</v>
      </c>
      <c r="AE77">
        <v>7495</v>
      </c>
      <c r="AG77">
        <v>0</v>
      </c>
      <c r="AH77" t="s">
        <v>47</v>
      </c>
      <c r="AI77" t="s">
        <v>48</v>
      </c>
      <c r="AJ77">
        <v>1961</v>
      </c>
      <c r="AK77" t="s">
        <v>464</v>
      </c>
    </row>
    <row r="78" spans="2:37" x14ac:dyDescent="0.3">
      <c r="B78">
        <f t="shared" si="3"/>
        <v>7</v>
      </c>
      <c r="C78" t="s">
        <v>115</v>
      </c>
      <c r="D78" t="s">
        <v>465</v>
      </c>
      <c r="E78">
        <v>0</v>
      </c>
      <c r="F78">
        <v>23636</v>
      </c>
      <c r="G78" t="s">
        <v>150</v>
      </c>
      <c r="I78">
        <v>2023</v>
      </c>
      <c r="J78">
        <v>3</v>
      </c>
      <c r="K78">
        <v>28000</v>
      </c>
      <c r="L78">
        <v>2450</v>
      </c>
      <c r="M78" t="s">
        <v>129</v>
      </c>
      <c r="N78" t="s">
        <v>151</v>
      </c>
      <c r="O78">
        <f t="shared" si="4"/>
        <v>4</v>
      </c>
      <c r="Q78" t="s">
        <v>199</v>
      </c>
      <c r="R78" t="s">
        <v>466</v>
      </c>
      <c r="U78">
        <v>4</v>
      </c>
      <c r="V78">
        <v>0</v>
      </c>
      <c r="W78" t="s">
        <v>155</v>
      </c>
      <c r="X78" t="s">
        <v>156</v>
      </c>
      <c r="Y78">
        <v>0</v>
      </c>
      <c r="AA78" t="s">
        <v>222</v>
      </c>
      <c r="AC78" t="str">
        <f t="shared" si="5"/>
        <v>RURAL</v>
      </c>
      <c r="AD78" t="s">
        <v>224</v>
      </c>
      <c r="AE78">
        <v>3189</v>
      </c>
      <c r="AG78">
        <v>26000</v>
      </c>
      <c r="AH78" t="s">
        <v>160</v>
      </c>
      <c r="AI78" t="s">
        <v>161</v>
      </c>
      <c r="AJ78">
        <v>2023</v>
      </c>
      <c r="AK78" t="s">
        <v>467</v>
      </c>
    </row>
    <row r="79" spans="2:37" x14ac:dyDescent="0.3">
      <c r="B79">
        <f t="shared" si="3"/>
        <v>6</v>
      </c>
      <c r="C79" t="s">
        <v>109</v>
      </c>
      <c r="D79" t="s">
        <v>142</v>
      </c>
      <c r="E79">
        <v>6489</v>
      </c>
      <c r="F79" t="s">
        <v>468</v>
      </c>
      <c r="G79" t="s">
        <v>37</v>
      </c>
      <c r="H79" t="s">
        <v>38</v>
      </c>
      <c r="I79">
        <v>2023</v>
      </c>
      <c r="J79">
        <v>5</v>
      </c>
      <c r="K79">
        <v>2199</v>
      </c>
      <c r="L79">
        <v>0</v>
      </c>
      <c r="M79" t="s">
        <v>39</v>
      </c>
      <c r="N79" t="s">
        <v>40</v>
      </c>
      <c r="O79">
        <f t="shared" si="4"/>
        <v>1</v>
      </c>
      <c r="Q79" t="s">
        <v>249</v>
      </c>
      <c r="R79" t="s">
        <v>321</v>
      </c>
      <c r="S79" t="s">
        <v>43</v>
      </c>
      <c r="U79">
        <v>2</v>
      </c>
      <c r="V79">
        <v>5</v>
      </c>
      <c r="W79" t="s">
        <v>44</v>
      </c>
      <c r="X79" t="s">
        <v>45</v>
      </c>
      <c r="Y79">
        <v>0</v>
      </c>
      <c r="Z79" t="s">
        <v>45</v>
      </c>
      <c r="AB79" t="s">
        <v>469</v>
      </c>
      <c r="AC79" t="str">
        <f t="shared" si="5"/>
        <v>RURAL</v>
      </c>
      <c r="AD79" t="s">
        <v>470</v>
      </c>
      <c r="AE79">
        <v>3881</v>
      </c>
      <c r="AG79">
        <v>0</v>
      </c>
      <c r="AH79" t="s">
        <v>47</v>
      </c>
      <c r="AI79" t="s">
        <v>48</v>
      </c>
      <c r="AJ79">
        <v>1969</v>
      </c>
      <c r="AK79" t="s">
        <v>471</v>
      </c>
    </row>
    <row r="80" spans="2:37" x14ac:dyDescent="0.3">
      <c r="B80">
        <f t="shared" si="3"/>
        <v>10</v>
      </c>
      <c r="C80" t="s">
        <v>184</v>
      </c>
      <c r="D80" t="s">
        <v>89</v>
      </c>
      <c r="E80">
        <v>200</v>
      </c>
      <c r="G80" t="s">
        <v>90</v>
      </c>
      <c r="H80" t="s">
        <v>472</v>
      </c>
      <c r="I80">
        <v>2023</v>
      </c>
      <c r="J80">
        <v>5</v>
      </c>
      <c r="K80">
        <v>0</v>
      </c>
      <c r="L80">
        <v>0</v>
      </c>
      <c r="M80" t="s">
        <v>129</v>
      </c>
      <c r="N80" t="s">
        <v>40</v>
      </c>
      <c r="O80">
        <f t="shared" si="4"/>
        <v>1</v>
      </c>
      <c r="Q80" t="s">
        <v>473</v>
      </c>
      <c r="R80" t="s">
        <v>474</v>
      </c>
      <c r="S80" t="s">
        <v>43</v>
      </c>
      <c r="T80" t="s">
        <v>475</v>
      </c>
      <c r="U80">
        <v>0</v>
      </c>
      <c r="V80">
        <v>0</v>
      </c>
      <c r="W80" t="s">
        <v>44</v>
      </c>
      <c r="X80" t="s">
        <v>476</v>
      </c>
      <c r="Y80">
        <v>9</v>
      </c>
      <c r="AB80">
        <v>200</v>
      </c>
      <c r="AC80" t="str">
        <f t="shared" si="5"/>
        <v>URBAN</v>
      </c>
      <c r="AD80" t="s">
        <v>46</v>
      </c>
      <c r="AE80">
        <v>8061</v>
      </c>
      <c r="AG80">
        <v>0</v>
      </c>
      <c r="AH80" t="s">
        <v>89</v>
      </c>
      <c r="AI80" t="s">
        <v>48</v>
      </c>
      <c r="AJ80">
        <v>2023</v>
      </c>
      <c r="AK80" t="s">
        <v>477</v>
      </c>
    </row>
    <row r="81" spans="2:37" x14ac:dyDescent="0.3">
      <c r="B81">
        <f t="shared" si="3"/>
        <v>8</v>
      </c>
      <c r="C81" t="s">
        <v>122</v>
      </c>
      <c r="D81" t="s">
        <v>89</v>
      </c>
      <c r="E81">
        <v>248</v>
      </c>
      <c r="F81" t="s">
        <v>399</v>
      </c>
      <c r="G81" t="s">
        <v>90</v>
      </c>
      <c r="H81" t="s">
        <v>478</v>
      </c>
      <c r="I81">
        <v>2023</v>
      </c>
      <c r="J81">
        <v>8</v>
      </c>
      <c r="K81">
        <v>0</v>
      </c>
      <c r="L81">
        <v>0</v>
      </c>
      <c r="M81" t="s">
        <v>39</v>
      </c>
      <c r="N81" t="s">
        <v>40</v>
      </c>
      <c r="O81">
        <f t="shared" si="4"/>
        <v>1</v>
      </c>
      <c r="P81" t="s">
        <v>401</v>
      </c>
      <c r="Q81" t="s">
        <v>361</v>
      </c>
      <c r="R81" t="s">
        <v>402</v>
      </c>
      <c r="S81" t="s">
        <v>43</v>
      </c>
      <c r="U81">
        <v>0</v>
      </c>
      <c r="V81">
        <v>0</v>
      </c>
      <c r="W81" t="s">
        <v>44</v>
      </c>
      <c r="X81" t="s">
        <v>69</v>
      </c>
      <c r="Y81">
        <v>0</v>
      </c>
      <c r="Z81" t="s">
        <v>69</v>
      </c>
      <c r="AB81" t="s">
        <v>403</v>
      </c>
      <c r="AC81" t="str">
        <f t="shared" si="5"/>
        <v>URBAN</v>
      </c>
      <c r="AD81" t="s">
        <v>46</v>
      </c>
      <c r="AE81">
        <v>8051</v>
      </c>
      <c r="AG81">
        <v>0</v>
      </c>
      <c r="AH81" t="s">
        <v>89</v>
      </c>
      <c r="AI81" t="s">
        <v>48</v>
      </c>
      <c r="AJ81">
        <v>1991</v>
      </c>
      <c r="AK81" t="s">
        <v>404</v>
      </c>
    </row>
    <row r="82" spans="2:37" x14ac:dyDescent="0.3">
      <c r="B82">
        <f t="shared" si="3"/>
        <v>1</v>
      </c>
      <c r="C82" t="s">
        <v>34</v>
      </c>
      <c r="D82" t="s">
        <v>89</v>
      </c>
      <c r="E82">
        <v>750</v>
      </c>
      <c r="F82" t="s">
        <v>479</v>
      </c>
      <c r="G82" t="s">
        <v>90</v>
      </c>
      <c r="H82" t="s">
        <v>479</v>
      </c>
      <c r="I82">
        <v>2023</v>
      </c>
      <c r="J82">
        <v>11</v>
      </c>
      <c r="K82">
        <v>0</v>
      </c>
      <c r="L82">
        <v>0</v>
      </c>
      <c r="M82" t="s">
        <v>39</v>
      </c>
      <c r="N82" t="s">
        <v>40</v>
      </c>
      <c r="O82">
        <f t="shared" si="4"/>
        <v>1</v>
      </c>
      <c r="Q82" t="s">
        <v>138</v>
      </c>
      <c r="R82" t="s">
        <v>480</v>
      </c>
      <c r="S82" t="s">
        <v>43</v>
      </c>
      <c r="U82">
        <v>2</v>
      </c>
      <c r="V82">
        <v>0</v>
      </c>
      <c r="W82" t="s">
        <v>44</v>
      </c>
      <c r="X82" t="s">
        <v>45</v>
      </c>
      <c r="Y82">
        <v>0</v>
      </c>
      <c r="Z82" t="s">
        <v>45</v>
      </c>
      <c r="AC82" t="str">
        <f t="shared" si="5"/>
        <v>RURAL</v>
      </c>
      <c r="AD82" t="s">
        <v>300</v>
      </c>
      <c r="AE82">
        <v>4410</v>
      </c>
      <c r="AG82">
        <v>0</v>
      </c>
      <c r="AH82" t="s">
        <v>89</v>
      </c>
      <c r="AI82" t="s">
        <v>48</v>
      </c>
      <c r="AJ82">
        <v>1971</v>
      </c>
      <c r="AK82" t="s">
        <v>481</v>
      </c>
    </row>
    <row r="83" spans="2:37" x14ac:dyDescent="0.3">
      <c r="B83">
        <f t="shared" si="3"/>
        <v>1</v>
      </c>
      <c r="C83" t="s">
        <v>34</v>
      </c>
      <c r="D83" t="s">
        <v>89</v>
      </c>
      <c r="E83">
        <v>105</v>
      </c>
      <c r="G83" t="s">
        <v>90</v>
      </c>
      <c r="H83" t="s">
        <v>482</v>
      </c>
      <c r="I83">
        <v>2023</v>
      </c>
      <c r="J83">
        <v>2</v>
      </c>
      <c r="K83">
        <v>0</v>
      </c>
      <c r="L83">
        <v>0</v>
      </c>
      <c r="M83" t="s">
        <v>39</v>
      </c>
      <c r="N83" t="s">
        <v>40</v>
      </c>
      <c r="O83">
        <f t="shared" si="4"/>
        <v>1</v>
      </c>
      <c r="Q83" t="s">
        <v>206</v>
      </c>
      <c r="R83" t="s">
        <v>447</v>
      </c>
      <c r="S83" t="s">
        <v>43</v>
      </c>
      <c r="T83" t="s">
        <v>448</v>
      </c>
      <c r="U83">
        <v>0</v>
      </c>
      <c r="V83">
        <v>0</v>
      </c>
      <c r="W83" t="s">
        <v>44</v>
      </c>
      <c r="X83" t="s">
        <v>69</v>
      </c>
      <c r="Y83">
        <v>6</v>
      </c>
      <c r="Z83" t="s">
        <v>230</v>
      </c>
      <c r="AB83">
        <v>110</v>
      </c>
      <c r="AC83" t="str">
        <f t="shared" si="5"/>
        <v>RURAL</v>
      </c>
      <c r="AD83" t="s">
        <v>224</v>
      </c>
      <c r="AE83">
        <v>4</v>
      </c>
      <c r="AG83">
        <v>0</v>
      </c>
      <c r="AH83" t="s">
        <v>89</v>
      </c>
      <c r="AI83" t="s">
        <v>48</v>
      </c>
      <c r="AJ83">
        <v>2023</v>
      </c>
      <c r="AK83" t="s">
        <v>449</v>
      </c>
    </row>
    <row r="84" spans="2:37" x14ac:dyDescent="0.3">
      <c r="B84">
        <f t="shared" si="3"/>
        <v>2</v>
      </c>
      <c r="C84" t="s">
        <v>50</v>
      </c>
      <c r="D84" t="s">
        <v>99</v>
      </c>
      <c r="E84">
        <v>1271</v>
      </c>
      <c r="G84" t="s">
        <v>37</v>
      </c>
      <c r="H84" t="s">
        <v>483</v>
      </c>
      <c r="I84">
        <v>2023</v>
      </c>
      <c r="J84">
        <v>4</v>
      </c>
      <c r="K84">
        <v>940</v>
      </c>
      <c r="L84">
        <v>0</v>
      </c>
      <c r="M84" t="s">
        <v>39</v>
      </c>
      <c r="N84" t="s">
        <v>40</v>
      </c>
      <c r="O84">
        <f t="shared" si="4"/>
        <v>1</v>
      </c>
      <c r="P84" t="s">
        <v>484</v>
      </c>
      <c r="Q84" t="s">
        <v>485</v>
      </c>
      <c r="R84" t="s">
        <v>486</v>
      </c>
      <c r="S84" t="s">
        <v>43</v>
      </c>
      <c r="U84">
        <v>2</v>
      </c>
      <c r="V84">
        <v>4</v>
      </c>
      <c r="W84" t="s">
        <v>44</v>
      </c>
      <c r="X84" t="s">
        <v>95</v>
      </c>
      <c r="Y84">
        <v>0</v>
      </c>
      <c r="Z84" t="s">
        <v>69</v>
      </c>
      <c r="AC84" t="str">
        <f t="shared" si="5"/>
        <v>RURAL</v>
      </c>
      <c r="AD84" t="s">
        <v>281</v>
      </c>
      <c r="AE84">
        <v>7692</v>
      </c>
      <c r="AG84">
        <v>0</v>
      </c>
      <c r="AH84" t="s">
        <v>47</v>
      </c>
      <c r="AI84" t="s">
        <v>48</v>
      </c>
      <c r="AJ84">
        <v>1993</v>
      </c>
      <c r="AK84" t="s">
        <v>487</v>
      </c>
    </row>
    <row r="85" spans="2:37" x14ac:dyDescent="0.3">
      <c r="B85">
        <f t="shared" si="3"/>
        <v>3</v>
      </c>
      <c r="C85" t="s">
        <v>60</v>
      </c>
      <c r="D85" t="s">
        <v>61</v>
      </c>
      <c r="E85">
        <v>4980</v>
      </c>
      <c r="F85" t="s">
        <v>488</v>
      </c>
      <c r="G85" t="s">
        <v>63</v>
      </c>
      <c r="H85">
        <v>45876</v>
      </c>
      <c r="I85">
        <v>2023</v>
      </c>
      <c r="J85">
        <v>4</v>
      </c>
      <c r="K85">
        <v>7500</v>
      </c>
      <c r="L85">
        <v>2280</v>
      </c>
      <c r="M85" t="s">
        <v>39</v>
      </c>
      <c r="N85" t="s">
        <v>40</v>
      </c>
      <c r="O85">
        <f t="shared" si="4"/>
        <v>1</v>
      </c>
      <c r="P85" t="s">
        <v>489</v>
      </c>
      <c r="Q85" t="s">
        <v>66</v>
      </c>
      <c r="R85" t="s">
        <v>67</v>
      </c>
      <c r="S85" t="s">
        <v>68</v>
      </c>
      <c r="U85">
        <v>2</v>
      </c>
      <c r="V85">
        <v>3</v>
      </c>
      <c r="W85" t="s">
        <v>44</v>
      </c>
      <c r="X85" t="s">
        <v>69</v>
      </c>
      <c r="Y85">
        <v>0</v>
      </c>
      <c r="Z85" t="s">
        <v>69</v>
      </c>
      <c r="AC85" t="str">
        <f t="shared" si="5"/>
        <v>URBAN</v>
      </c>
      <c r="AD85" t="s">
        <v>147</v>
      </c>
      <c r="AE85">
        <v>626</v>
      </c>
      <c r="AG85">
        <v>14200</v>
      </c>
      <c r="AH85" t="s">
        <v>71</v>
      </c>
      <c r="AI85" t="s">
        <v>48</v>
      </c>
      <c r="AJ85">
        <v>1998</v>
      </c>
      <c r="AK85" t="s">
        <v>490</v>
      </c>
    </row>
    <row r="86" spans="2:37" x14ac:dyDescent="0.3">
      <c r="B86">
        <f t="shared" si="3"/>
        <v>11</v>
      </c>
      <c r="C86" t="s">
        <v>241</v>
      </c>
      <c r="D86" t="s">
        <v>99</v>
      </c>
      <c r="E86">
        <v>6390</v>
      </c>
      <c r="F86" t="s">
        <v>491</v>
      </c>
      <c r="G86" t="s">
        <v>37</v>
      </c>
      <c r="H86" t="s">
        <v>38</v>
      </c>
      <c r="I86">
        <v>2023</v>
      </c>
      <c r="J86">
        <v>7</v>
      </c>
      <c r="K86">
        <v>1928</v>
      </c>
      <c r="L86">
        <v>0</v>
      </c>
      <c r="M86" t="s">
        <v>39</v>
      </c>
      <c r="N86" t="s">
        <v>40</v>
      </c>
      <c r="O86">
        <f t="shared" si="4"/>
        <v>1</v>
      </c>
      <c r="Q86" t="s">
        <v>102</v>
      </c>
      <c r="R86" t="s">
        <v>492</v>
      </c>
      <c r="S86" t="s">
        <v>43</v>
      </c>
      <c r="U86">
        <v>2</v>
      </c>
      <c r="V86">
        <v>5</v>
      </c>
      <c r="W86" t="s">
        <v>44</v>
      </c>
      <c r="X86" t="s">
        <v>45</v>
      </c>
      <c r="Y86">
        <v>0</v>
      </c>
      <c r="Z86" t="s">
        <v>45</v>
      </c>
      <c r="AC86" t="str">
        <f t="shared" si="5"/>
        <v>URBAN</v>
      </c>
      <c r="AD86" t="s">
        <v>215</v>
      </c>
      <c r="AE86">
        <v>3200</v>
      </c>
      <c r="AG86">
        <v>0</v>
      </c>
      <c r="AH86" t="s">
        <v>47</v>
      </c>
      <c r="AI86" t="s">
        <v>48</v>
      </c>
      <c r="AJ86">
        <v>1965</v>
      </c>
      <c r="AK86" t="s">
        <v>493</v>
      </c>
    </row>
    <row r="87" spans="2:37" x14ac:dyDescent="0.3">
      <c r="B87">
        <f t="shared" si="3"/>
        <v>3</v>
      </c>
      <c r="C87" t="s">
        <v>60</v>
      </c>
      <c r="D87" t="s">
        <v>99</v>
      </c>
      <c r="E87">
        <v>4738</v>
      </c>
      <c r="F87" t="s">
        <v>494</v>
      </c>
      <c r="G87" t="s">
        <v>37</v>
      </c>
      <c r="H87" t="s">
        <v>495</v>
      </c>
      <c r="I87">
        <v>2023</v>
      </c>
      <c r="J87">
        <v>10</v>
      </c>
      <c r="K87">
        <v>0</v>
      </c>
      <c r="L87">
        <v>0</v>
      </c>
      <c r="M87" t="s">
        <v>39</v>
      </c>
      <c r="N87" t="s">
        <v>40</v>
      </c>
      <c r="O87">
        <f t="shared" si="4"/>
        <v>1</v>
      </c>
      <c r="Q87" t="s">
        <v>102</v>
      </c>
      <c r="R87" t="s">
        <v>275</v>
      </c>
      <c r="S87" t="s">
        <v>43</v>
      </c>
      <c r="U87">
        <v>2</v>
      </c>
      <c r="V87">
        <v>5</v>
      </c>
      <c r="W87" t="s">
        <v>44</v>
      </c>
      <c r="X87" t="s">
        <v>104</v>
      </c>
      <c r="Y87">
        <v>0</v>
      </c>
      <c r="Z87" t="s">
        <v>104</v>
      </c>
      <c r="AB87">
        <v>500</v>
      </c>
      <c r="AC87" t="str">
        <f t="shared" si="5"/>
        <v>URBAN</v>
      </c>
      <c r="AD87" t="s">
        <v>147</v>
      </c>
      <c r="AE87">
        <v>1081</v>
      </c>
      <c r="AG87">
        <v>0</v>
      </c>
      <c r="AH87" t="s">
        <v>47</v>
      </c>
      <c r="AI87" t="s">
        <v>48</v>
      </c>
      <c r="AJ87">
        <v>1964</v>
      </c>
      <c r="AK87" t="s">
        <v>496</v>
      </c>
    </row>
    <row r="88" spans="2:37" x14ac:dyDescent="0.3">
      <c r="B88">
        <f t="shared" si="3"/>
        <v>12</v>
      </c>
      <c r="C88" t="s">
        <v>261</v>
      </c>
      <c r="D88" t="s">
        <v>142</v>
      </c>
      <c r="E88">
        <v>3781</v>
      </c>
      <c r="F88" t="s">
        <v>497</v>
      </c>
      <c r="G88" t="s">
        <v>37</v>
      </c>
      <c r="H88" t="s">
        <v>498</v>
      </c>
      <c r="I88">
        <v>2023</v>
      </c>
      <c r="J88">
        <v>9</v>
      </c>
      <c r="K88">
        <v>0</v>
      </c>
      <c r="L88">
        <v>0</v>
      </c>
      <c r="M88" t="s">
        <v>39</v>
      </c>
      <c r="N88" t="s">
        <v>40</v>
      </c>
      <c r="O88">
        <f t="shared" si="4"/>
        <v>1</v>
      </c>
      <c r="Q88" t="s">
        <v>391</v>
      </c>
      <c r="R88" t="s">
        <v>392</v>
      </c>
      <c r="S88" t="s">
        <v>43</v>
      </c>
      <c r="U88">
        <v>2</v>
      </c>
      <c r="V88">
        <v>2</v>
      </c>
      <c r="W88" t="s">
        <v>44</v>
      </c>
      <c r="X88" t="s">
        <v>95</v>
      </c>
      <c r="Y88">
        <v>0</v>
      </c>
      <c r="Z88" t="s">
        <v>45</v>
      </c>
      <c r="AC88" t="str">
        <f t="shared" si="5"/>
        <v>URBAN</v>
      </c>
      <c r="AD88" t="s">
        <v>46</v>
      </c>
      <c r="AE88">
        <v>8081</v>
      </c>
      <c r="AG88">
        <v>0</v>
      </c>
      <c r="AH88" t="s">
        <v>47</v>
      </c>
      <c r="AI88" t="s">
        <v>48</v>
      </c>
      <c r="AJ88">
        <v>1963</v>
      </c>
      <c r="AK88" t="s">
        <v>499</v>
      </c>
    </row>
    <row r="89" spans="2:37" x14ac:dyDescent="0.3">
      <c r="B89">
        <f t="shared" si="3"/>
        <v>10</v>
      </c>
      <c r="C89" t="s">
        <v>184</v>
      </c>
      <c r="D89" t="s">
        <v>142</v>
      </c>
      <c r="E89">
        <v>4949</v>
      </c>
      <c r="F89" t="s">
        <v>500</v>
      </c>
      <c r="G89" t="s">
        <v>37</v>
      </c>
      <c r="H89" t="s">
        <v>501</v>
      </c>
      <c r="I89">
        <v>2023</v>
      </c>
      <c r="J89">
        <v>12</v>
      </c>
      <c r="K89">
        <v>0</v>
      </c>
      <c r="L89">
        <v>0</v>
      </c>
      <c r="M89" t="s">
        <v>39</v>
      </c>
      <c r="N89" t="s">
        <v>40</v>
      </c>
      <c r="O89">
        <f t="shared" si="4"/>
        <v>1</v>
      </c>
      <c r="Q89" t="s">
        <v>102</v>
      </c>
      <c r="R89" t="s">
        <v>111</v>
      </c>
      <c r="S89" t="s">
        <v>43</v>
      </c>
      <c r="U89">
        <v>0</v>
      </c>
      <c r="V89">
        <v>4</v>
      </c>
      <c r="W89" t="s">
        <v>44</v>
      </c>
      <c r="X89" t="s">
        <v>45</v>
      </c>
      <c r="Y89">
        <v>0</v>
      </c>
      <c r="Z89" t="s">
        <v>45</v>
      </c>
      <c r="AC89" t="str">
        <f t="shared" si="5"/>
        <v>RURAL</v>
      </c>
      <c r="AD89" t="s">
        <v>133</v>
      </c>
      <c r="AE89">
        <v>9024</v>
      </c>
      <c r="AG89">
        <v>0</v>
      </c>
      <c r="AH89" t="s">
        <v>47</v>
      </c>
      <c r="AI89" t="s">
        <v>48</v>
      </c>
      <c r="AJ89">
        <v>1966</v>
      </c>
      <c r="AK89" t="s">
        <v>502</v>
      </c>
    </row>
    <row r="90" spans="2:37" x14ac:dyDescent="0.3">
      <c r="B90">
        <f t="shared" si="3"/>
        <v>3</v>
      </c>
      <c r="C90" t="s">
        <v>60</v>
      </c>
      <c r="D90" t="s">
        <v>339</v>
      </c>
      <c r="E90">
        <v>4100</v>
      </c>
      <c r="F90" t="s">
        <v>503</v>
      </c>
      <c r="G90" t="s">
        <v>63</v>
      </c>
      <c r="H90" t="s">
        <v>504</v>
      </c>
      <c r="I90">
        <v>2023</v>
      </c>
      <c r="J90">
        <v>10</v>
      </c>
      <c r="K90">
        <v>4500</v>
      </c>
      <c r="L90">
        <v>2500</v>
      </c>
      <c r="M90" t="s">
        <v>39</v>
      </c>
      <c r="N90" t="s">
        <v>40</v>
      </c>
      <c r="O90">
        <f t="shared" si="4"/>
        <v>1</v>
      </c>
      <c r="P90" t="s">
        <v>505</v>
      </c>
      <c r="Q90" t="s">
        <v>83</v>
      </c>
      <c r="R90" t="s">
        <v>506</v>
      </c>
      <c r="S90" t="s">
        <v>68</v>
      </c>
      <c r="U90">
        <v>2</v>
      </c>
      <c r="V90">
        <v>3</v>
      </c>
      <c r="W90" t="s">
        <v>44</v>
      </c>
      <c r="X90" t="s">
        <v>69</v>
      </c>
      <c r="Y90">
        <v>0</v>
      </c>
      <c r="Z90" t="s">
        <v>69</v>
      </c>
      <c r="AC90" t="str">
        <f t="shared" si="5"/>
        <v>URBAN</v>
      </c>
      <c r="AD90" t="s">
        <v>46</v>
      </c>
      <c r="AE90">
        <v>8011</v>
      </c>
      <c r="AG90">
        <v>14200</v>
      </c>
      <c r="AH90" t="s">
        <v>71</v>
      </c>
      <c r="AI90" t="s">
        <v>48</v>
      </c>
      <c r="AJ90">
        <v>1997</v>
      </c>
      <c r="AK90" t="s">
        <v>507</v>
      </c>
    </row>
    <row r="91" spans="2:37" x14ac:dyDescent="0.3">
      <c r="B91">
        <f t="shared" si="3"/>
        <v>7</v>
      </c>
      <c r="C91" t="s">
        <v>115</v>
      </c>
      <c r="D91" t="s">
        <v>89</v>
      </c>
      <c r="E91">
        <v>1360</v>
      </c>
      <c r="F91" t="s">
        <v>508</v>
      </c>
      <c r="G91" t="s">
        <v>90</v>
      </c>
      <c r="H91" t="s">
        <v>509</v>
      </c>
      <c r="I91">
        <v>2022</v>
      </c>
      <c r="J91">
        <v>9</v>
      </c>
      <c r="K91">
        <v>0</v>
      </c>
      <c r="L91">
        <v>0</v>
      </c>
      <c r="M91" t="s">
        <v>39</v>
      </c>
      <c r="N91" t="s">
        <v>40</v>
      </c>
      <c r="O91">
        <f t="shared" si="4"/>
        <v>1</v>
      </c>
      <c r="Q91" t="s">
        <v>361</v>
      </c>
      <c r="R91" t="s">
        <v>510</v>
      </c>
      <c r="S91" t="s">
        <v>43</v>
      </c>
      <c r="T91" t="s">
        <v>511</v>
      </c>
      <c r="U91">
        <v>0</v>
      </c>
      <c r="V91">
        <v>0</v>
      </c>
      <c r="W91" t="s">
        <v>44</v>
      </c>
      <c r="X91" t="s">
        <v>69</v>
      </c>
      <c r="Y91">
        <v>53</v>
      </c>
      <c r="Z91" t="s">
        <v>56</v>
      </c>
      <c r="AB91" t="s">
        <v>512</v>
      </c>
      <c r="AC91" t="str">
        <f t="shared" si="5"/>
        <v>URBAN</v>
      </c>
      <c r="AD91" t="s">
        <v>147</v>
      </c>
      <c r="AE91">
        <v>2103</v>
      </c>
      <c r="AG91">
        <v>0</v>
      </c>
      <c r="AH91" t="s">
        <v>89</v>
      </c>
      <c r="AI91" t="s">
        <v>48</v>
      </c>
      <c r="AJ91">
        <v>2022</v>
      </c>
      <c r="AK91" t="s">
        <v>513</v>
      </c>
    </row>
    <row r="92" spans="2:37" x14ac:dyDescent="0.3">
      <c r="B92">
        <f t="shared" si="3"/>
        <v>3</v>
      </c>
      <c r="C92" t="s">
        <v>60</v>
      </c>
      <c r="D92" t="s">
        <v>89</v>
      </c>
      <c r="E92">
        <v>250</v>
      </c>
      <c r="F92" t="s">
        <v>514</v>
      </c>
      <c r="G92" t="s">
        <v>90</v>
      </c>
      <c r="H92" t="s">
        <v>515</v>
      </c>
      <c r="I92">
        <v>2022</v>
      </c>
      <c r="J92">
        <v>8</v>
      </c>
      <c r="K92">
        <v>0</v>
      </c>
      <c r="L92">
        <v>0</v>
      </c>
      <c r="M92" t="s">
        <v>39</v>
      </c>
      <c r="N92" t="s">
        <v>40</v>
      </c>
      <c r="O92">
        <f t="shared" si="4"/>
        <v>1</v>
      </c>
      <c r="Q92" t="s">
        <v>361</v>
      </c>
      <c r="R92" t="s">
        <v>362</v>
      </c>
      <c r="S92" t="s">
        <v>43</v>
      </c>
      <c r="U92">
        <v>0</v>
      </c>
      <c r="V92">
        <v>0</v>
      </c>
      <c r="W92" t="s">
        <v>44</v>
      </c>
      <c r="X92" t="s">
        <v>69</v>
      </c>
      <c r="Y92">
        <v>0</v>
      </c>
      <c r="Z92" t="s">
        <v>156</v>
      </c>
      <c r="AB92">
        <v>250</v>
      </c>
      <c r="AC92" t="str">
        <f t="shared" si="5"/>
        <v>URBAN</v>
      </c>
      <c r="AD92" t="s">
        <v>147</v>
      </c>
      <c r="AE92">
        <v>2012</v>
      </c>
      <c r="AG92">
        <v>0</v>
      </c>
      <c r="AH92" t="s">
        <v>89</v>
      </c>
      <c r="AI92" t="s">
        <v>48</v>
      </c>
      <c r="AJ92">
        <v>1989</v>
      </c>
      <c r="AK92" t="s">
        <v>516</v>
      </c>
    </row>
    <row r="93" spans="2:37" x14ac:dyDescent="0.3">
      <c r="B93">
        <f t="shared" si="3"/>
        <v>7</v>
      </c>
      <c r="C93" t="s">
        <v>115</v>
      </c>
      <c r="D93" t="s">
        <v>89</v>
      </c>
      <c r="E93">
        <v>805</v>
      </c>
      <c r="F93" t="s">
        <v>517</v>
      </c>
      <c r="G93" t="s">
        <v>90</v>
      </c>
      <c r="H93" t="s">
        <v>38</v>
      </c>
      <c r="I93">
        <v>2022</v>
      </c>
      <c r="J93">
        <v>2</v>
      </c>
      <c r="K93">
        <v>0</v>
      </c>
      <c r="L93">
        <v>0</v>
      </c>
      <c r="M93" t="s">
        <v>353</v>
      </c>
      <c r="N93" t="s">
        <v>40</v>
      </c>
      <c r="O93">
        <f t="shared" si="4"/>
        <v>1</v>
      </c>
      <c r="Q93" t="s">
        <v>518</v>
      </c>
      <c r="R93" t="s">
        <v>519</v>
      </c>
      <c r="S93" t="s">
        <v>43</v>
      </c>
      <c r="T93" t="s">
        <v>520</v>
      </c>
      <c r="U93">
        <v>0</v>
      </c>
      <c r="V93">
        <v>0</v>
      </c>
      <c r="W93" t="s">
        <v>44</v>
      </c>
      <c r="X93" t="s">
        <v>69</v>
      </c>
      <c r="Y93">
        <v>40</v>
      </c>
      <c r="Z93" t="s">
        <v>56</v>
      </c>
      <c r="AB93" t="s">
        <v>521</v>
      </c>
      <c r="AC93" t="str">
        <f t="shared" si="5"/>
        <v>URBAN</v>
      </c>
      <c r="AD93" t="s">
        <v>147</v>
      </c>
      <c r="AE93">
        <v>632</v>
      </c>
      <c r="AG93">
        <v>0</v>
      </c>
      <c r="AH93" t="s">
        <v>89</v>
      </c>
      <c r="AI93" t="s">
        <v>48</v>
      </c>
      <c r="AJ93">
        <v>1995</v>
      </c>
      <c r="AK93" t="s">
        <v>522</v>
      </c>
    </row>
    <row r="94" spans="2:37" x14ac:dyDescent="0.3">
      <c r="B94">
        <f t="shared" si="3"/>
        <v>10</v>
      </c>
      <c r="C94" t="s">
        <v>184</v>
      </c>
      <c r="D94" t="s">
        <v>89</v>
      </c>
      <c r="E94">
        <v>883</v>
      </c>
      <c r="G94" t="s">
        <v>90</v>
      </c>
      <c r="H94" t="s">
        <v>523</v>
      </c>
      <c r="I94">
        <v>2022</v>
      </c>
      <c r="J94">
        <v>9</v>
      </c>
      <c r="K94">
        <v>0</v>
      </c>
      <c r="L94">
        <v>0</v>
      </c>
      <c r="M94" t="s">
        <v>39</v>
      </c>
      <c r="N94" t="s">
        <v>40</v>
      </c>
      <c r="O94">
        <f t="shared" si="4"/>
        <v>1</v>
      </c>
      <c r="Q94" t="s">
        <v>524</v>
      </c>
      <c r="R94">
        <v>883</v>
      </c>
      <c r="S94" t="s">
        <v>43</v>
      </c>
      <c r="U94">
        <v>0</v>
      </c>
      <c r="V94">
        <v>0</v>
      </c>
      <c r="W94" t="s">
        <v>55</v>
      </c>
      <c r="X94" t="s">
        <v>45</v>
      </c>
      <c r="Y94">
        <v>0</v>
      </c>
      <c r="Z94" t="s">
        <v>45</v>
      </c>
      <c r="AC94" t="str">
        <f t="shared" si="5"/>
        <v>RURAL</v>
      </c>
      <c r="AD94" t="s">
        <v>300</v>
      </c>
      <c r="AE94">
        <v>4412</v>
      </c>
      <c r="AG94">
        <v>0</v>
      </c>
      <c r="AH94" t="s">
        <v>89</v>
      </c>
      <c r="AI94" t="s">
        <v>48</v>
      </c>
      <c r="AJ94">
        <v>1988</v>
      </c>
      <c r="AK94" t="s">
        <v>525</v>
      </c>
    </row>
    <row r="95" spans="2:37" x14ac:dyDescent="0.3">
      <c r="B95">
        <f t="shared" si="3"/>
        <v>7</v>
      </c>
      <c r="C95" t="s">
        <v>115</v>
      </c>
      <c r="D95" t="s">
        <v>465</v>
      </c>
      <c r="E95">
        <v>0</v>
      </c>
      <c r="F95">
        <v>4509</v>
      </c>
      <c r="G95" t="s">
        <v>150</v>
      </c>
      <c r="I95">
        <v>2022</v>
      </c>
      <c r="J95">
        <v>10</v>
      </c>
      <c r="K95">
        <v>32500</v>
      </c>
      <c r="L95">
        <v>1</v>
      </c>
      <c r="M95" t="s">
        <v>353</v>
      </c>
      <c r="N95" t="s">
        <v>151</v>
      </c>
      <c r="O95">
        <f t="shared" si="4"/>
        <v>4</v>
      </c>
      <c r="Q95" t="s">
        <v>153</v>
      </c>
      <c r="R95" t="s">
        <v>526</v>
      </c>
      <c r="U95">
        <v>3</v>
      </c>
      <c r="V95">
        <v>0</v>
      </c>
      <c r="W95" t="s">
        <v>55</v>
      </c>
      <c r="X95" t="s">
        <v>156</v>
      </c>
      <c r="Y95">
        <v>0</v>
      </c>
      <c r="AA95" t="s">
        <v>527</v>
      </c>
      <c r="AC95" t="str">
        <f t="shared" si="5"/>
        <v>URBAN</v>
      </c>
      <c r="AD95" t="s">
        <v>147</v>
      </c>
      <c r="AE95">
        <v>810</v>
      </c>
      <c r="AG95">
        <v>24600</v>
      </c>
      <c r="AH95" t="s">
        <v>160</v>
      </c>
      <c r="AI95" t="s">
        <v>161</v>
      </c>
      <c r="AJ95">
        <v>1983</v>
      </c>
      <c r="AK95" t="s">
        <v>528</v>
      </c>
    </row>
    <row r="96" spans="2:37" x14ac:dyDescent="0.3">
      <c r="B96">
        <f t="shared" si="3"/>
        <v>1</v>
      </c>
      <c r="C96" t="s">
        <v>34</v>
      </c>
      <c r="D96" t="s">
        <v>89</v>
      </c>
      <c r="E96">
        <v>400</v>
      </c>
      <c r="F96">
        <v>1064214</v>
      </c>
      <c r="G96" t="s">
        <v>90</v>
      </c>
      <c r="H96">
        <v>1060017</v>
      </c>
      <c r="I96">
        <v>2022</v>
      </c>
      <c r="J96">
        <v>12</v>
      </c>
      <c r="K96">
        <v>0</v>
      </c>
      <c r="L96">
        <v>0</v>
      </c>
      <c r="M96" t="s">
        <v>39</v>
      </c>
      <c r="N96" t="s">
        <v>40</v>
      </c>
      <c r="O96">
        <f t="shared" si="4"/>
        <v>1</v>
      </c>
      <c r="Q96" t="s">
        <v>206</v>
      </c>
      <c r="R96" t="s">
        <v>529</v>
      </c>
      <c r="S96" t="s">
        <v>43</v>
      </c>
      <c r="U96">
        <v>0</v>
      </c>
      <c r="V96">
        <v>0</v>
      </c>
      <c r="W96" t="s">
        <v>55</v>
      </c>
      <c r="X96" t="s">
        <v>69</v>
      </c>
      <c r="Y96">
        <v>0</v>
      </c>
      <c r="Z96" t="s">
        <v>69</v>
      </c>
      <c r="AC96" t="str">
        <f t="shared" si="5"/>
        <v>URBAN</v>
      </c>
      <c r="AD96" t="s">
        <v>147</v>
      </c>
      <c r="AE96">
        <v>604</v>
      </c>
      <c r="AG96">
        <v>0</v>
      </c>
      <c r="AH96" t="s">
        <v>89</v>
      </c>
      <c r="AI96" t="s">
        <v>48</v>
      </c>
      <c r="AJ96">
        <v>1977</v>
      </c>
      <c r="AK96" t="s">
        <v>530</v>
      </c>
    </row>
    <row r="97" spans="2:37" x14ac:dyDescent="0.3">
      <c r="B97">
        <f t="shared" si="3"/>
        <v>3</v>
      </c>
      <c r="C97" t="s">
        <v>60</v>
      </c>
      <c r="D97" t="s">
        <v>176</v>
      </c>
      <c r="E97">
        <v>6557</v>
      </c>
      <c r="F97" t="s">
        <v>531</v>
      </c>
      <c r="G97" t="s">
        <v>63</v>
      </c>
      <c r="H97" t="s">
        <v>532</v>
      </c>
      <c r="I97">
        <v>2022</v>
      </c>
      <c r="J97">
        <v>11</v>
      </c>
      <c r="K97">
        <v>9200</v>
      </c>
      <c r="L97">
        <v>3270</v>
      </c>
      <c r="M97" t="s">
        <v>39</v>
      </c>
      <c r="N97" t="s">
        <v>40</v>
      </c>
      <c r="O97">
        <f t="shared" si="4"/>
        <v>1</v>
      </c>
      <c r="P97" t="s">
        <v>533</v>
      </c>
      <c r="Q97" t="s">
        <v>130</v>
      </c>
      <c r="R97" t="s">
        <v>440</v>
      </c>
      <c r="S97" t="s">
        <v>68</v>
      </c>
      <c r="U97">
        <v>2</v>
      </c>
      <c r="V97">
        <v>3</v>
      </c>
      <c r="W97" t="s">
        <v>55</v>
      </c>
      <c r="X97" t="s">
        <v>69</v>
      </c>
      <c r="Y97">
        <v>0</v>
      </c>
      <c r="Z97" t="s">
        <v>69</v>
      </c>
      <c r="AC97" t="str">
        <f t="shared" si="5"/>
        <v>URBAN</v>
      </c>
      <c r="AD97" t="s">
        <v>147</v>
      </c>
      <c r="AE97">
        <v>2583</v>
      </c>
      <c r="AG97">
        <v>14200</v>
      </c>
      <c r="AH97" t="s">
        <v>182</v>
      </c>
      <c r="AI97" t="s">
        <v>48</v>
      </c>
      <c r="AJ97">
        <v>1987</v>
      </c>
      <c r="AK97" t="s">
        <v>534</v>
      </c>
    </row>
    <row r="98" spans="2:37" x14ac:dyDescent="0.3">
      <c r="B98">
        <f t="shared" si="3"/>
        <v>10</v>
      </c>
      <c r="C98" t="s">
        <v>184</v>
      </c>
      <c r="D98" t="s">
        <v>61</v>
      </c>
      <c r="E98">
        <v>7545</v>
      </c>
      <c r="G98" t="s">
        <v>63</v>
      </c>
      <c r="H98" t="s">
        <v>535</v>
      </c>
      <c r="I98">
        <v>2022</v>
      </c>
      <c r="J98">
        <v>7</v>
      </c>
      <c r="K98">
        <v>10530</v>
      </c>
      <c r="L98">
        <v>3420</v>
      </c>
      <c r="M98" t="s">
        <v>129</v>
      </c>
      <c r="N98" t="s">
        <v>40</v>
      </c>
      <c r="O98">
        <f t="shared" si="4"/>
        <v>1</v>
      </c>
      <c r="Q98" t="s">
        <v>130</v>
      </c>
      <c r="R98" t="s">
        <v>536</v>
      </c>
      <c r="S98" t="s">
        <v>68</v>
      </c>
      <c r="U98">
        <v>2</v>
      </c>
      <c r="V98">
        <v>2</v>
      </c>
      <c r="W98" t="s">
        <v>55</v>
      </c>
      <c r="X98" t="s">
        <v>69</v>
      </c>
      <c r="Y98">
        <v>0</v>
      </c>
      <c r="AC98" t="str">
        <f t="shared" si="5"/>
        <v>RURAL</v>
      </c>
      <c r="AD98" t="s">
        <v>350</v>
      </c>
      <c r="AE98">
        <v>4178</v>
      </c>
      <c r="AG98">
        <v>14200</v>
      </c>
      <c r="AH98" t="s">
        <v>71</v>
      </c>
      <c r="AI98" t="s">
        <v>48</v>
      </c>
      <c r="AJ98">
        <v>2022</v>
      </c>
      <c r="AK98" t="s">
        <v>537</v>
      </c>
    </row>
    <row r="99" spans="2:37" x14ac:dyDescent="0.3">
      <c r="B99">
        <f t="shared" si="3"/>
        <v>10</v>
      </c>
      <c r="C99" t="s">
        <v>184</v>
      </c>
      <c r="D99" t="s">
        <v>176</v>
      </c>
      <c r="E99">
        <v>7540</v>
      </c>
      <c r="F99" t="s">
        <v>538</v>
      </c>
      <c r="G99" t="s">
        <v>63</v>
      </c>
      <c r="H99" t="s">
        <v>539</v>
      </c>
      <c r="I99">
        <v>2022</v>
      </c>
      <c r="J99">
        <v>11</v>
      </c>
      <c r="K99">
        <v>9200</v>
      </c>
      <c r="L99">
        <v>3750</v>
      </c>
      <c r="M99" t="s">
        <v>39</v>
      </c>
      <c r="N99" t="s">
        <v>40</v>
      </c>
      <c r="O99">
        <f t="shared" si="4"/>
        <v>1</v>
      </c>
      <c r="P99" t="s">
        <v>540</v>
      </c>
      <c r="Q99" t="s">
        <v>130</v>
      </c>
      <c r="R99" t="s">
        <v>440</v>
      </c>
      <c r="S99" t="s">
        <v>68</v>
      </c>
      <c r="U99">
        <v>2</v>
      </c>
      <c r="V99">
        <v>2</v>
      </c>
      <c r="W99" t="s">
        <v>55</v>
      </c>
      <c r="X99" t="s">
        <v>69</v>
      </c>
      <c r="Y99">
        <v>0</v>
      </c>
      <c r="Z99" t="s">
        <v>69</v>
      </c>
      <c r="AC99" t="str">
        <f t="shared" si="5"/>
        <v>RURAL</v>
      </c>
      <c r="AD99" t="s">
        <v>159</v>
      </c>
      <c r="AE99">
        <v>9689</v>
      </c>
      <c r="AG99">
        <v>14200</v>
      </c>
      <c r="AH99" t="s">
        <v>182</v>
      </c>
      <c r="AI99" t="s">
        <v>48</v>
      </c>
      <c r="AJ99">
        <v>1988</v>
      </c>
      <c r="AK99" t="s">
        <v>541</v>
      </c>
    </row>
    <row r="100" spans="2:37" x14ac:dyDescent="0.3">
      <c r="B100">
        <f t="shared" si="3"/>
        <v>3</v>
      </c>
      <c r="C100" t="s">
        <v>60</v>
      </c>
      <c r="D100" t="s">
        <v>89</v>
      </c>
      <c r="E100">
        <v>249</v>
      </c>
      <c r="F100" t="s">
        <v>204</v>
      </c>
      <c r="G100" t="s">
        <v>90</v>
      </c>
      <c r="H100" t="s">
        <v>542</v>
      </c>
      <c r="I100">
        <v>2022</v>
      </c>
      <c r="J100">
        <v>11</v>
      </c>
      <c r="K100">
        <v>0</v>
      </c>
      <c r="L100">
        <v>0</v>
      </c>
      <c r="M100" t="s">
        <v>39</v>
      </c>
      <c r="N100" t="s">
        <v>40</v>
      </c>
      <c r="O100">
        <f t="shared" si="4"/>
        <v>1</v>
      </c>
      <c r="Q100" t="s">
        <v>206</v>
      </c>
      <c r="R100" t="s">
        <v>207</v>
      </c>
      <c r="S100" t="s">
        <v>43</v>
      </c>
      <c r="T100" t="s">
        <v>543</v>
      </c>
      <c r="U100">
        <v>0</v>
      </c>
      <c r="V100">
        <v>0</v>
      </c>
      <c r="W100" t="s">
        <v>44</v>
      </c>
      <c r="X100" t="s">
        <v>69</v>
      </c>
      <c r="Y100">
        <v>19</v>
      </c>
      <c r="Z100" t="s">
        <v>230</v>
      </c>
      <c r="AB100">
        <v>250</v>
      </c>
      <c r="AC100" t="str">
        <f t="shared" si="5"/>
        <v>RURAL</v>
      </c>
      <c r="AD100" t="s">
        <v>202</v>
      </c>
      <c r="AE100">
        <v>3375</v>
      </c>
      <c r="AG100">
        <v>0</v>
      </c>
      <c r="AH100" t="s">
        <v>89</v>
      </c>
      <c r="AI100" t="s">
        <v>48</v>
      </c>
      <c r="AJ100">
        <v>2022</v>
      </c>
      <c r="AK100" t="s">
        <v>544</v>
      </c>
    </row>
    <row r="101" spans="2:37" x14ac:dyDescent="0.3">
      <c r="B101">
        <f t="shared" si="3"/>
        <v>1</v>
      </c>
      <c r="C101" t="s">
        <v>34</v>
      </c>
      <c r="D101" t="s">
        <v>89</v>
      </c>
      <c r="E101">
        <v>400</v>
      </c>
      <c r="F101" t="s">
        <v>545</v>
      </c>
      <c r="G101" t="s">
        <v>90</v>
      </c>
      <c r="H101" t="s">
        <v>38</v>
      </c>
      <c r="I101">
        <v>2022</v>
      </c>
      <c r="J101">
        <v>11</v>
      </c>
      <c r="K101">
        <v>0</v>
      </c>
      <c r="L101">
        <v>0</v>
      </c>
      <c r="M101" t="s">
        <v>39</v>
      </c>
      <c r="N101" t="s">
        <v>40</v>
      </c>
      <c r="O101">
        <f t="shared" si="4"/>
        <v>1</v>
      </c>
      <c r="Q101" t="s">
        <v>386</v>
      </c>
      <c r="R101">
        <v>400</v>
      </c>
      <c r="S101" t="s">
        <v>43</v>
      </c>
      <c r="U101">
        <v>0</v>
      </c>
      <c r="V101">
        <v>0</v>
      </c>
      <c r="W101" t="s">
        <v>44</v>
      </c>
      <c r="X101" t="s">
        <v>237</v>
      </c>
      <c r="Y101">
        <v>0</v>
      </c>
      <c r="Z101" t="s">
        <v>69</v>
      </c>
      <c r="AB101" t="s">
        <v>546</v>
      </c>
      <c r="AC101" t="str">
        <f t="shared" si="5"/>
        <v>URBAN</v>
      </c>
      <c r="AD101" t="s">
        <v>147</v>
      </c>
      <c r="AE101">
        <v>2022</v>
      </c>
      <c r="AG101">
        <v>0</v>
      </c>
      <c r="AH101" t="s">
        <v>89</v>
      </c>
      <c r="AI101" t="s">
        <v>48</v>
      </c>
      <c r="AJ101">
        <v>1987</v>
      </c>
      <c r="AK101" t="s">
        <v>547</v>
      </c>
    </row>
    <row r="102" spans="2:37" x14ac:dyDescent="0.3">
      <c r="B102">
        <f t="shared" si="3"/>
        <v>8</v>
      </c>
      <c r="C102" t="s">
        <v>122</v>
      </c>
      <c r="D102" t="s">
        <v>99</v>
      </c>
      <c r="E102">
        <v>5700</v>
      </c>
      <c r="F102" t="s">
        <v>548</v>
      </c>
      <c r="G102" t="s">
        <v>37</v>
      </c>
      <c r="H102" t="s">
        <v>549</v>
      </c>
      <c r="I102">
        <v>2022</v>
      </c>
      <c r="J102">
        <v>2</v>
      </c>
      <c r="K102">
        <v>0</v>
      </c>
      <c r="L102">
        <v>0</v>
      </c>
      <c r="M102" t="s">
        <v>353</v>
      </c>
      <c r="N102" t="s">
        <v>40</v>
      </c>
      <c r="O102">
        <f t="shared" si="4"/>
        <v>1</v>
      </c>
      <c r="Q102" t="s">
        <v>249</v>
      </c>
      <c r="R102" t="s">
        <v>454</v>
      </c>
      <c r="S102" t="s">
        <v>43</v>
      </c>
      <c r="U102">
        <v>0</v>
      </c>
      <c r="V102">
        <v>5</v>
      </c>
      <c r="W102" t="s">
        <v>44</v>
      </c>
      <c r="X102" t="s">
        <v>45</v>
      </c>
      <c r="Y102">
        <v>0</v>
      </c>
      <c r="Z102" t="s">
        <v>45</v>
      </c>
      <c r="AC102" t="str">
        <f t="shared" si="5"/>
        <v>RURAL</v>
      </c>
      <c r="AD102" t="s">
        <v>350</v>
      </c>
      <c r="AE102">
        <v>4122</v>
      </c>
      <c r="AG102">
        <v>0</v>
      </c>
      <c r="AH102" t="s">
        <v>47</v>
      </c>
      <c r="AI102" t="s">
        <v>48</v>
      </c>
      <c r="AJ102">
        <v>1957</v>
      </c>
      <c r="AK102" t="s">
        <v>550</v>
      </c>
    </row>
    <row r="103" spans="2:37" x14ac:dyDescent="0.3">
      <c r="B103">
        <f t="shared" si="3"/>
        <v>1</v>
      </c>
      <c r="C103" t="s">
        <v>34</v>
      </c>
      <c r="D103" t="s">
        <v>61</v>
      </c>
      <c r="E103">
        <v>14000</v>
      </c>
      <c r="G103" t="s">
        <v>169</v>
      </c>
      <c r="H103">
        <v>17855</v>
      </c>
      <c r="I103">
        <v>2022</v>
      </c>
      <c r="J103">
        <v>12</v>
      </c>
      <c r="K103">
        <v>25909</v>
      </c>
      <c r="L103">
        <v>3600</v>
      </c>
      <c r="M103" t="s">
        <v>39</v>
      </c>
      <c r="N103" t="s">
        <v>151</v>
      </c>
      <c r="O103">
        <f t="shared" si="4"/>
        <v>4</v>
      </c>
      <c r="Q103" t="s">
        <v>551</v>
      </c>
      <c r="R103" t="s">
        <v>552</v>
      </c>
      <c r="S103" t="s">
        <v>68</v>
      </c>
      <c r="U103">
        <v>3</v>
      </c>
      <c r="V103">
        <v>2</v>
      </c>
      <c r="W103" t="s">
        <v>44</v>
      </c>
      <c r="X103" t="s">
        <v>553</v>
      </c>
      <c r="Y103">
        <v>0</v>
      </c>
      <c r="Z103" t="s">
        <v>553</v>
      </c>
      <c r="AA103" t="s">
        <v>222</v>
      </c>
      <c r="AC103" t="str">
        <f t="shared" si="5"/>
        <v>RURAL</v>
      </c>
      <c r="AD103" t="s">
        <v>300</v>
      </c>
      <c r="AE103">
        <v>4412</v>
      </c>
      <c r="AG103">
        <v>21000</v>
      </c>
      <c r="AH103" t="s">
        <v>71</v>
      </c>
      <c r="AI103" t="s">
        <v>161</v>
      </c>
      <c r="AJ103">
        <v>1995</v>
      </c>
      <c r="AK103" t="s">
        <v>554</v>
      </c>
    </row>
    <row r="104" spans="2:37" x14ac:dyDescent="0.3">
      <c r="B104">
        <f t="shared" si="3"/>
        <v>2</v>
      </c>
      <c r="C104" t="s">
        <v>50</v>
      </c>
      <c r="D104" t="s">
        <v>176</v>
      </c>
      <c r="E104">
        <v>1250</v>
      </c>
      <c r="F104" t="s">
        <v>555</v>
      </c>
      <c r="G104" t="s">
        <v>169</v>
      </c>
      <c r="H104">
        <v>46</v>
      </c>
      <c r="I104">
        <v>2022</v>
      </c>
      <c r="J104">
        <v>9</v>
      </c>
      <c r="K104">
        <v>15100</v>
      </c>
      <c r="L104">
        <v>3800</v>
      </c>
      <c r="M104" t="s">
        <v>39</v>
      </c>
      <c r="N104" t="s">
        <v>40</v>
      </c>
      <c r="O104">
        <f t="shared" si="4"/>
        <v>1</v>
      </c>
      <c r="P104" t="s">
        <v>556</v>
      </c>
      <c r="Q104" t="s">
        <v>557</v>
      </c>
      <c r="R104" t="s">
        <v>558</v>
      </c>
      <c r="S104" t="s">
        <v>68</v>
      </c>
      <c r="U104">
        <v>2</v>
      </c>
      <c r="V104">
        <v>3</v>
      </c>
      <c r="W104" t="s">
        <v>44</v>
      </c>
      <c r="X104" t="s">
        <v>69</v>
      </c>
      <c r="Y104">
        <v>0</v>
      </c>
      <c r="Z104" t="s">
        <v>69</v>
      </c>
      <c r="AC104" t="str">
        <f t="shared" si="5"/>
        <v>RURAL</v>
      </c>
      <c r="AD104" t="s">
        <v>224</v>
      </c>
      <c r="AE104">
        <v>3189</v>
      </c>
      <c r="AG104">
        <v>14200</v>
      </c>
      <c r="AH104" t="s">
        <v>182</v>
      </c>
      <c r="AI104" t="s">
        <v>48</v>
      </c>
      <c r="AJ104">
        <v>1991</v>
      </c>
      <c r="AK104" t="s">
        <v>559</v>
      </c>
    </row>
    <row r="105" spans="2:37" x14ac:dyDescent="0.3">
      <c r="B105">
        <f t="shared" si="3"/>
        <v>10</v>
      </c>
      <c r="C105" t="s">
        <v>184</v>
      </c>
      <c r="D105" t="s">
        <v>242</v>
      </c>
      <c r="E105">
        <v>6276</v>
      </c>
      <c r="F105" t="s">
        <v>560</v>
      </c>
      <c r="G105" t="s">
        <v>117</v>
      </c>
      <c r="H105" t="s">
        <v>419</v>
      </c>
      <c r="I105">
        <v>2022</v>
      </c>
      <c r="J105">
        <v>8</v>
      </c>
      <c r="K105">
        <v>2268</v>
      </c>
      <c r="L105">
        <v>0</v>
      </c>
      <c r="M105" t="s">
        <v>39</v>
      </c>
      <c r="N105" t="s">
        <v>40</v>
      </c>
      <c r="O105">
        <f t="shared" si="4"/>
        <v>1</v>
      </c>
      <c r="Q105" t="s">
        <v>249</v>
      </c>
      <c r="R105" t="s">
        <v>561</v>
      </c>
      <c r="S105" t="s">
        <v>43</v>
      </c>
      <c r="U105">
        <v>2</v>
      </c>
      <c r="V105">
        <v>2</v>
      </c>
      <c r="W105" t="s">
        <v>44</v>
      </c>
      <c r="X105" t="s">
        <v>45</v>
      </c>
      <c r="Y105">
        <v>0</v>
      </c>
      <c r="Z105" t="s">
        <v>45</v>
      </c>
      <c r="AB105">
        <v>3200</v>
      </c>
      <c r="AC105" t="str">
        <f t="shared" si="5"/>
        <v>RURAL</v>
      </c>
      <c r="AD105" t="s">
        <v>376</v>
      </c>
      <c r="AE105">
        <v>230</v>
      </c>
      <c r="AG105">
        <v>0</v>
      </c>
      <c r="AH105" t="s">
        <v>71</v>
      </c>
      <c r="AI105" t="s">
        <v>48</v>
      </c>
      <c r="AJ105">
        <v>1957</v>
      </c>
      <c r="AK105" t="s">
        <v>562</v>
      </c>
    </row>
    <row r="106" spans="2:37" x14ac:dyDescent="0.3">
      <c r="B106">
        <f t="shared" si="3"/>
        <v>3</v>
      </c>
      <c r="C106" t="s">
        <v>60</v>
      </c>
      <c r="D106" t="s">
        <v>89</v>
      </c>
      <c r="E106">
        <v>249</v>
      </c>
      <c r="F106" t="s">
        <v>563</v>
      </c>
      <c r="G106" t="s">
        <v>90</v>
      </c>
      <c r="H106" t="s">
        <v>419</v>
      </c>
      <c r="I106">
        <v>2022</v>
      </c>
      <c r="J106">
        <v>5</v>
      </c>
      <c r="K106">
        <v>0</v>
      </c>
      <c r="L106">
        <v>0</v>
      </c>
      <c r="M106" t="s">
        <v>39</v>
      </c>
      <c r="N106" t="s">
        <v>40</v>
      </c>
      <c r="O106">
        <f t="shared" si="4"/>
        <v>1</v>
      </c>
      <c r="Q106" t="s">
        <v>206</v>
      </c>
      <c r="R106" t="s">
        <v>207</v>
      </c>
      <c r="S106" t="s">
        <v>43</v>
      </c>
      <c r="U106">
        <v>2</v>
      </c>
      <c r="V106">
        <v>0</v>
      </c>
      <c r="W106" t="s">
        <v>44</v>
      </c>
      <c r="X106" t="s">
        <v>69</v>
      </c>
      <c r="Y106">
        <v>0</v>
      </c>
      <c r="Z106" t="s">
        <v>69</v>
      </c>
      <c r="AB106" t="s">
        <v>564</v>
      </c>
      <c r="AC106" t="str">
        <f t="shared" si="5"/>
        <v>URBAN</v>
      </c>
      <c r="AD106" t="s">
        <v>46</v>
      </c>
      <c r="AE106">
        <v>8022</v>
      </c>
      <c r="AG106">
        <v>0</v>
      </c>
      <c r="AH106" t="s">
        <v>89</v>
      </c>
      <c r="AI106" t="s">
        <v>48</v>
      </c>
      <c r="AJ106">
        <v>1995</v>
      </c>
      <c r="AK106" t="s">
        <v>565</v>
      </c>
    </row>
    <row r="107" spans="2:37" x14ac:dyDescent="0.3">
      <c r="B107">
        <f t="shared" si="3"/>
        <v>1</v>
      </c>
      <c r="C107" t="s">
        <v>34</v>
      </c>
      <c r="D107" t="s">
        <v>142</v>
      </c>
      <c r="E107">
        <v>5700</v>
      </c>
      <c r="F107" t="s">
        <v>566</v>
      </c>
      <c r="G107" t="s">
        <v>37</v>
      </c>
      <c r="H107" t="s">
        <v>38</v>
      </c>
      <c r="I107">
        <v>2022</v>
      </c>
      <c r="J107">
        <v>1</v>
      </c>
      <c r="K107">
        <v>0</v>
      </c>
      <c r="L107">
        <v>0</v>
      </c>
      <c r="M107" t="s">
        <v>39</v>
      </c>
      <c r="N107" t="s">
        <v>40</v>
      </c>
      <c r="O107">
        <f t="shared" si="4"/>
        <v>1</v>
      </c>
      <c r="Q107" t="s">
        <v>249</v>
      </c>
      <c r="R107" t="s">
        <v>414</v>
      </c>
      <c r="S107" t="s">
        <v>43</v>
      </c>
      <c r="U107">
        <v>0</v>
      </c>
      <c r="V107">
        <v>2</v>
      </c>
      <c r="W107" t="s">
        <v>44</v>
      </c>
      <c r="X107" t="s">
        <v>45</v>
      </c>
      <c r="Y107">
        <v>0</v>
      </c>
      <c r="Z107" t="s">
        <v>45</v>
      </c>
      <c r="AB107" t="s">
        <v>567</v>
      </c>
      <c r="AC107" t="str">
        <f t="shared" si="5"/>
        <v>URBAN</v>
      </c>
      <c r="AD107" t="s">
        <v>147</v>
      </c>
      <c r="AE107">
        <v>874</v>
      </c>
      <c r="AG107">
        <v>0</v>
      </c>
      <c r="AH107" t="s">
        <v>47</v>
      </c>
      <c r="AI107" t="s">
        <v>48</v>
      </c>
      <c r="AJ107">
        <v>1974</v>
      </c>
      <c r="AK107" t="s">
        <v>568</v>
      </c>
    </row>
    <row r="108" spans="2:37" x14ac:dyDescent="0.3">
      <c r="B108">
        <f t="shared" si="3"/>
        <v>13</v>
      </c>
      <c r="C108" t="s">
        <v>308</v>
      </c>
      <c r="D108" t="s">
        <v>61</v>
      </c>
      <c r="E108">
        <v>4561</v>
      </c>
      <c r="F108" t="s">
        <v>569</v>
      </c>
      <c r="G108" t="s">
        <v>63</v>
      </c>
      <c r="H108" t="s">
        <v>570</v>
      </c>
      <c r="I108">
        <v>2022</v>
      </c>
      <c r="J108">
        <v>12</v>
      </c>
      <c r="K108">
        <v>5375</v>
      </c>
      <c r="L108">
        <v>3000</v>
      </c>
      <c r="M108" t="s">
        <v>39</v>
      </c>
      <c r="N108" t="s">
        <v>40</v>
      </c>
      <c r="O108">
        <f t="shared" si="4"/>
        <v>1</v>
      </c>
      <c r="P108" t="s">
        <v>571</v>
      </c>
      <c r="Q108" t="s">
        <v>130</v>
      </c>
      <c r="R108" t="s">
        <v>131</v>
      </c>
      <c r="S108" t="s">
        <v>68</v>
      </c>
      <c r="U108">
        <v>2</v>
      </c>
      <c r="V108">
        <v>3</v>
      </c>
      <c r="W108" t="s">
        <v>44</v>
      </c>
      <c r="X108" t="s">
        <v>69</v>
      </c>
      <c r="Y108">
        <v>0</v>
      </c>
      <c r="Z108" t="s">
        <v>69</v>
      </c>
      <c r="AC108" t="str">
        <f t="shared" si="5"/>
        <v>RURAL</v>
      </c>
      <c r="AD108" t="s">
        <v>410</v>
      </c>
      <c r="AE108">
        <v>4978</v>
      </c>
      <c r="AG108">
        <v>14200</v>
      </c>
      <c r="AH108" t="s">
        <v>71</v>
      </c>
      <c r="AI108" t="s">
        <v>86</v>
      </c>
      <c r="AJ108">
        <v>1999</v>
      </c>
      <c r="AK108" t="s">
        <v>572</v>
      </c>
    </row>
    <row r="109" spans="2:37" x14ac:dyDescent="0.3">
      <c r="B109">
        <f t="shared" si="3"/>
        <v>8</v>
      </c>
      <c r="C109" t="s">
        <v>122</v>
      </c>
      <c r="D109" t="s">
        <v>99</v>
      </c>
      <c r="E109">
        <v>5211</v>
      </c>
      <c r="F109" t="s">
        <v>573</v>
      </c>
      <c r="G109" t="s">
        <v>37</v>
      </c>
      <c r="H109" t="s">
        <v>38</v>
      </c>
      <c r="I109">
        <v>2022</v>
      </c>
      <c r="J109">
        <v>8</v>
      </c>
      <c r="K109">
        <v>0</v>
      </c>
      <c r="L109">
        <v>0</v>
      </c>
      <c r="M109" t="s">
        <v>39</v>
      </c>
      <c r="N109" t="s">
        <v>40</v>
      </c>
      <c r="O109">
        <f t="shared" si="4"/>
        <v>1</v>
      </c>
      <c r="Q109" t="s">
        <v>420</v>
      </c>
      <c r="R109" t="s">
        <v>574</v>
      </c>
      <c r="S109" t="s">
        <v>43</v>
      </c>
      <c r="U109">
        <v>2</v>
      </c>
      <c r="V109">
        <v>5</v>
      </c>
      <c r="W109" t="s">
        <v>44</v>
      </c>
      <c r="X109" t="s">
        <v>104</v>
      </c>
      <c r="Y109">
        <v>0</v>
      </c>
      <c r="Z109" t="s">
        <v>104</v>
      </c>
      <c r="AB109" t="s">
        <v>575</v>
      </c>
      <c r="AC109" t="str">
        <f t="shared" si="5"/>
        <v>URBAN</v>
      </c>
      <c r="AD109" t="s">
        <v>46</v>
      </c>
      <c r="AE109">
        <v>8024</v>
      </c>
      <c r="AG109">
        <v>0</v>
      </c>
      <c r="AH109" t="s">
        <v>47</v>
      </c>
      <c r="AI109" t="s">
        <v>48</v>
      </c>
      <c r="AJ109">
        <v>1976</v>
      </c>
      <c r="AK109" t="s">
        <v>576</v>
      </c>
    </row>
    <row r="110" spans="2:37" x14ac:dyDescent="0.3">
      <c r="B110">
        <f t="shared" si="3"/>
        <v>3</v>
      </c>
      <c r="C110" t="s">
        <v>60</v>
      </c>
      <c r="D110" t="s">
        <v>176</v>
      </c>
      <c r="E110">
        <v>3830</v>
      </c>
      <c r="F110" t="s">
        <v>577</v>
      </c>
      <c r="G110" t="s">
        <v>63</v>
      </c>
      <c r="H110" t="s">
        <v>578</v>
      </c>
      <c r="I110">
        <v>2022</v>
      </c>
      <c r="J110">
        <v>12</v>
      </c>
      <c r="K110">
        <v>8500</v>
      </c>
      <c r="L110">
        <v>3000</v>
      </c>
      <c r="M110" t="s">
        <v>39</v>
      </c>
      <c r="N110" t="s">
        <v>40</v>
      </c>
      <c r="O110">
        <f t="shared" si="4"/>
        <v>1</v>
      </c>
      <c r="P110" t="s">
        <v>579</v>
      </c>
      <c r="Q110" t="s">
        <v>427</v>
      </c>
      <c r="R110" t="s">
        <v>580</v>
      </c>
      <c r="S110" t="s">
        <v>68</v>
      </c>
      <c r="U110">
        <v>2</v>
      </c>
      <c r="V110">
        <v>2</v>
      </c>
      <c r="W110" t="s">
        <v>44</v>
      </c>
      <c r="X110" t="s">
        <v>69</v>
      </c>
      <c r="Y110">
        <v>0</v>
      </c>
      <c r="Z110" t="s">
        <v>69</v>
      </c>
      <c r="AC110" t="str">
        <f t="shared" si="5"/>
        <v>RURAL</v>
      </c>
      <c r="AD110" t="s">
        <v>295</v>
      </c>
      <c r="AE110">
        <v>3112</v>
      </c>
      <c r="AG110">
        <v>14200</v>
      </c>
      <c r="AH110" t="s">
        <v>182</v>
      </c>
      <c r="AI110" t="s">
        <v>48</v>
      </c>
      <c r="AJ110">
        <v>1992</v>
      </c>
      <c r="AK110" t="s">
        <v>581</v>
      </c>
    </row>
    <row r="111" spans="2:37" x14ac:dyDescent="0.3">
      <c r="B111">
        <f t="shared" si="3"/>
        <v>7</v>
      </c>
      <c r="C111" t="s">
        <v>115</v>
      </c>
      <c r="D111" t="s">
        <v>242</v>
      </c>
      <c r="E111">
        <v>7439</v>
      </c>
      <c r="G111" t="s">
        <v>117</v>
      </c>
      <c r="H111" t="s">
        <v>582</v>
      </c>
      <c r="I111">
        <v>2022</v>
      </c>
      <c r="J111">
        <v>12</v>
      </c>
      <c r="K111">
        <v>2813</v>
      </c>
      <c r="L111">
        <v>0</v>
      </c>
      <c r="M111" t="s">
        <v>39</v>
      </c>
      <c r="N111" t="s">
        <v>40</v>
      </c>
      <c r="O111">
        <f t="shared" si="4"/>
        <v>1</v>
      </c>
      <c r="P111" t="s">
        <v>235</v>
      </c>
      <c r="Q111" t="s">
        <v>249</v>
      </c>
      <c r="R111" t="s">
        <v>583</v>
      </c>
      <c r="S111" t="s">
        <v>43</v>
      </c>
      <c r="U111">
        <v>2</v>
      </c>
      <c r="V111">
        <v>2</v>
      </c>
      <c r="W111" t="s">
        <v>44</v>
      </c>
      <c r="X111" t="s">
        <v>45</v>
      </c>
      <c r="Y111">
        <v>0</v>
      </c>
      <c r="Z111" t="s">
        <v>45</v>
      </c>
      <c r="AC111" t="str">
        <f t="shared" si="5"/>
        <v>RURAL</v>
      </c>
      <c r="AD111" t="s">
        <v>133</v>
      </c>
      <c r="AE111">
        <v>9011</v>
      </c>
      <c r="AG111">
        <v>0</v>
      </c>
      <c r="AH111" t="s">
        <v>71</v>
      </c>
      <c r="AI111" t="s">
        <v>48</v>
      </c>
      <c r="AJ111">
        <v>1990</v>
      </c>
      <c r="AK111" t="s">
        <v>584</v>
      </c>
    </row>
    <row r="112" spans="2:37" x14ac:dyDescent="0.3">
      <c r="B112">
        <f t="shared" si="3"/>
        <v>3</v>
      </c>
      <c r="C112" t="s">
        <v>60</v>
      </c>
      <c r="D112" t="s">
        <v>89</v>
      </c>
      <c r="E112">
        <v>250</v>
      </c>
      <c r="F112" t="s">
        <v>585</v>
      </c>
      <c r="G112" t="s">
        <v>90</v>
      </c>
      <c r="H112" t="s">
        <v>586</v>
      </c>
      <c r="I112">
        <v>2022</v>
      </c>
      <c r="J112">
        <v>9</v>
      </c>
      <c r="K112">
        <v>0</v>
      </c>
      <c r="L112">
        <v>0</v>
      </c>
      <c r="M112" t="s">
        <v>39</v>
      </c>
      <c r="N112" t="s">
        <v>40</v>
      </c>
      <c r="O112">
        <f t="shared" si="4"/>
        <v>1</v>
      </c>
      <c r="Q112" t="s">
        <v>361</v>
      </c>
      <c r="R112" t="s">
        <v>362</v>
      </c>
      <c r="S112" t="s">
        <v>43</v>
      </c>
      <c r="U112">
        <v>0</v>
      </c>
      <c r="V112">
        <v>0</v>
      </c>
      <c r="W112" t="s">
        <v>44</v>
      </c>
      <c r="X112" t="s">
        <v>69</v>
      </c>
      <c r="Y112">
        <v>0</v>
      </c>
      <c r="Z112" t="s">
        <v>69</v>
      </c>
      <c r="AB112" t="s">
        <v>587</v>
      </c>
      <c r="AC112" t="str">
        <f t="shared" si="5"/>
        <v>RURAL</v>
      </c>
      <c r="AD112" t="s">
        <v>588</v>
      </c>
      <c r="AE112">
        <v>7781</v>
      </c>
      <c r="AG112">
        <v>0</v>
      </c>
      <c r="AH112" t="s">
        <v>89</v>
      </c>
      <c r="AI112" t="s">
        <v>48</v>
      </c>
      <c r="AJ112">
        <v>1998</v>
      </c>
      <c r="AK112" t="s">
        <v>589</v>
      </c>
    </row>
    <row r="113" spans="2:37" x14ac:dyDescent="0.3">
      <c r="B113">
        <f t="shared" si="3"/>
        <v>1</v>
      </c>
      <c r="C113" t="s">
        <v>34</v>
      </c>
      <c r="D113" t="s">
        <v>51</v>
      </c>
      <c r="E113">
        <v>1308</v>
      </c>
      <c r="F113" t="s">
        <v>590</v>
      </c>
      <c r="G113" t="s">
        <v>37</v>
      </c>
      <c r="H113" t="s">
        <v>591</v>
      </c>
      <c r="I113">
        <v>2022</v>
      </c>
      <c r="J113">
        <v>11</v>
      </c>
      <c r="K113">
        <v>1510</v>
      </c>
      <c r="L113">
        <v>0</v>
      </c>
      <c r="M113" t="s">
        <v>39</v>
      </c>
      <c r="N113" t="s">
        <v>40</v>
      </c>
      <c r="O113">
        <f t="shared" si="4"/>
        <v>1</v>
      </c>
      <c r="Q113" t="s">
        <v>592</v>
      </c>
      <c r="R113" t="s">
        <v>593</v>
      </c>
      <c r="S113" t="s">
        <v>43</v>
      </c>
      <c r="U113">
        <v>2</v>
      </c>
      <c r="V113">
        <v>5</v>
      </c>
      <c r="W113" t="s">
        <v>44</v>
      </c>
      <c r="X113" t="s">
        <v>69</v>
      </c>
      <c r="Y113">
        <v>0</v>
      </c>
      <c r="Z113" t="s">
        <v>45</v>
      </c>
      <c r="AC113" t="str">
        <f t="shared" si="5"/>
        <v>RURAL</v>
      </c>
      <c r="AD113" t="s">
        <v>295</v>
      </c>
      <c r="AE113">
        <v>3116</v>
      </c>
      <c r="AG113">
        <v>0</v>
      </c>
      <c r="AH113" t="s">
        <v>47</v>
      </c>
      <c r="AI113" t="s">
        <v>48</v>
      </c>
      <c r="AJ113">
        <v>1977</v>
      </c>
      <c r="AK113" t="s">
        <v>594</v>
      </c>
    </row>
    <row r="114" spans="2:37" x14ac:dyDescent="0.3">
      <c r="B114">
        <f t="shared" si="3"/>
        <v>1</v>
      </c>
      <c r="C114" t="s">
        <v>34</v>
      </c>
      <c r="D114" t="s">
        <v>89</v>
      </c>
      <c r="E114">
        <v>397</v>
      </c>
      <c r="F114" t="s">
        <v>595</v>
      </c>
      <c r="G114" t="s">
        <v>90</v>
      </c>
      <c r="H114" t="s">
        <v>596</v>
      </c>
      <c r="I114">
        <v>2022</v>
      </c>
      <c r="J114">
        <v>11</v>
      </c>
      <c r="K114">
        <v>0</v>
      </c>
      <c r="L114">
        <v>0</v>
      </c>
      <c r="M114" t="s">
        <v>39</v>
      </c>
      <c r="N114" t="s">
        <v>40</v>
      </c>
      <c r="O114">
        <f t="shared" si="4"/>
        <v>1</v>
      </c>
      <c r="Q114" t="s">
        <v>206</v>
      </c>
      <c r="R114" t="s">
        <v>207</v>
      </c>
      <c r="S114" t="s">
        <v>43</v>
      </c>
      <c r="T114" t="s">
        <v>597</v>
      </c>
      <c r="U114">
        <v>0</v>
      </c>
      <c r="V114">
        <v>0</v>
      </c>
      <c r="W114" t="s">
        <v>44</v>
      </c>
      <c r="X114" t="s">
        <v>69</v>
      </c>
      <c r="Y114">
        <v>18</v>
      </c>
      <c r="Z114" t="s">
        <v>230</v>
      </c>
      <c r="AB114">
        <v>400</v>
      </c>
      <c r="AC114" t="str">
        <f t="shared" si="5"/>
        <v>RURAL</v>
      </c>
      <c r="AD114" t="s">
        <v>202</v>
      </c>
      <c r="AE114">
        <v>3375</v>
      </c>
      <c r="AG114">
        <v>0</v>
      </c>
      <c r="AH114" t="s">
        <v>89</v>
      </c>
      <c r="AI114" t="s">
        <v>48</v>
      </c>
      <c r="AJ114">
        <v>2022</v>
      </c>
      <c r="AK114" t="s">
        <v>598</v>
      </c>
    </row>
    <row r="115" spans="2:37" x14ac:dyDescent="0.3">
      <c r="B115">
        <f t="shared" si="3"/>
        <v>1</v>
      </c>
      <c r="C115" t="s">
        <v>34</v>
      </c>
      <c r="D115" t="s">
        <v>99</v>
      </c>
      <c r="E115">
        <v>2568</v>
      </c>
      <c r="F115" t="s">
        <v>599</v>
      </c>
      <c r="G115" t="s">
        <v>37</v>
      </c>
      <c r="H115" t="s">
        <v>600</v>
      </c>
      <c r="I115">
        <v>2022</v>
      </c>
      <c r="J115">
        <v>8</v>
      </c>
      <c r="K115">
        <v>1700</v>
      </c>
      <c r="L115">
        <v>0</v>
      </c>
      <c r="M115" t="s">
        <v>39</v>
      </c>
      <c r="N115" t="s">
        <v>40</v>
      </c>
      <c r="O115">
        <f t="shared" si="4"/>
        <v>1</v>
      </c>
      <c r="P115" t="s">
        <v>601</v>
      </c>
      <c r="Q115" t="s">
        <v>557</v>
      </c>
      <c r="R115" t="s">
        <v>602</v>
      </c>
      <c r="S115" t="s">
        <v>43</v>
      </c>
      <c r="U115">
        <v>2</v>
      </c>
      <c r="V115">
        <v>4</v>
      </c>
      <c r="W115" t="s">
        <v>44</v>
      </c>
      <c r="X115" t="s">
        <v>69</v>
      </c>
      <c r="Y115">
        <v>0</v>
      </c>
      <c r="Z115" t="s">
        <v>69</v>
      </c>
      <c r="AB115" t="s">
        <v>603</v>
      </c>
      <c r="AC115" t="str">
        <f t="shared" si="5"/>
        <v>RURAL</v>
      </c>
      <c r="AD115" t="s">
        <v>295</v>
      </c>
      <c r="AE115">
        <v>3112</v>
      </c>
      <c r="AG115">
        <v>0</v>
      </c>
      <c r="AH115" t="s">
        <v>47</v>
      </c>
      <c r="AI115" t="s">
        <v>48</v>
      </c>
      <c r="AJ115">
        <v>1992</v>
      </c>
      <c r="AK115" t="s">
        <v>604</v>
      </c>
    </row>
    <row r="116" spans="2:37" x14ac:dyDescent="0.3">
      <c r="B116">
        <f t="shared" si="3"/>
        <v>3</v>
      </c>
      <c r="C116" t="s">
        <v>60</v>
      </c>
      <c r="D116" t="s">
        <v>142</v>
      </c>
      <c r="E116">
        <v>5735</v>
      </c>
      <c r="F116" t="s">
        <v>605</v>
      </c>
      <c r="G116" t="s">
        <v>37</v>
      </c>
      <c r="H116" t="s">
        <v>606</v>
      </c>
      <c r="I116">
        <v>2022</v>
      </c>
      <c r="J116">
        <v>3</v>
      </c>
      <c r="K116">
        <v>1896</v>
      </c>
      <c r="L116">
        <v>0</v>
      </c>
      <c r="M116" t="s">
        <v>39</v>
      </c>
      <c r="N116" t="s">
        <v>40</v>
      </c>
      <c r="O116">
        <f t="shared" si="4"/>
        <v>1</v>
      </c>
      <c r="Q116" t="s">
        <v>249</v>
      </c>
      <c r="R116" t="s">
        <v>414</v>
      </c>
      <c r="S116" t="s">
        <v>43</v>
      </c>
      <c r="U116">
        <v>2</v>
      </c>
      <c r="V116">
        <v>2</v>
      </c>
      <c r="W116" t="s">
        <v>44</v>
      </c>
      <c r="X116" t="s">
        <v>553</v>
      </c>
      <c r="Y116">
        <v>0</v>
      </c>
      <c r="Z116" t="s">
        <v>553</v>
      </c>
      <c r="AC116" t="str">
        <f t="shared" si="5"/>
        <v>RURAL</v>
      </c>
      <c r="AD116" t="s">
        <v>70</v>
      </c>
      <c r="AE116">
        <v>4577</v>
      </c>
      <c r="AG116">
        <v>0</v>
      </c>
      <c r="AH116" t="s">
        <v>47</v>
      </c>
      <c r="AI116" t="s">
        <v>48</v>
      </c>
      <c r="AJ116">
        <v>1978</v>
      </c>
      <c r="AK116" t="s">
        <v>607</v>
      </c>
    </row>
    <row r="117" spans="2:37" x14ac:dyDescent="0.3">
      <c r="B117">
        <f t="shared" si="3"/>
        <v>10</v>
      </c>
      <c r="C117" t="s">
        <v>184</v>
      </c>
      <c r="D117" t="s">
        <v>176</v>
      </c>
      <c r="E117">
        <v>11670</v>
      </c>
      <c r="F117" t="s">
        <v>608</v>
      </c>
      <c r="G117" t="s">
        <v>169</v>
      </c>
      <c r="H117" t="s">
        <v>609</v>
      </c>
      <c r="I117">
        <v>2022</v>
      </c>
      <c r="J117">
        <v>10</v>
      </c>
      <c r="K117">
        <v>14200</v>
      </c>
      <c r="L117">
        <v>2800</v>
      </c>
      <c r="M117" t="s">
        <v>39</v>
      </c>
      <c r="N117" t="s">
        <v>40</v>
      </c>
      <c r="O117">
        <f t="shared" si="4"/>
        <v>1</v>
      </c>
      <c r="P117" t="s">
        <v>610</v>
      </c>
      <c r="Q117" t="s">
        <v>557</v>
      </c>
      <c r="R117" t="s">
        <v>68</v>
      </c>
      <c r="S117" t="s">
        <v>68</v>
      </c>
      <c r="U117">
        <v>2</v>
      </c>
      <c r="V117">
        <v>3</v>
      </c>
      <c r="W117" t="s">
        <v>44</v>
      </c>
      <c r="X117" t="s">
        <v>69</v>
      </c>
      <c r="Y117">
        <v>0</v>
      </c>
      <c r="Z117" t="s">
        <v>69</v>
      </c>
      <c r="AC117" t="str">
        <f t="shared" si="5"/>
        <v>URBAN</v>
      </c>
      <c r="AD117" t="s">
        <v>46</v>
      </c>
      <c r="AE117">
        <v>8081</v>
      </c>
      <c r="AG117">
        <v>14200</v>
      </c>
      <c r="AH117" t="s">
        <v>182</v>
      </c>
      <c r="AI117" t="s">
        <v>48</v>
      </c>
      <c r="AJ117">
        <v>1983</v>
      </c>
      <c r="AK117" t="s">
        <v>611</v>
      </c>
    </row>
    <row r="118" spans="2:37" x14ac:dyDescent="0.3">
      <c r="B118">
        <f t="shared" si="3"/>
        <v>8</v>
      </c>
      <c r="C118" t="s">
        <v>122</v>
      </c>
      <c r="D118" t="s">
        <v>89</v>
      </c>
      <c r="E118">
        <v>1200</v>
      </c>
      <c r="F118" t="s">
        <v>612</v>
      </c>
      <c r="G118" t="s">
        <v>90</v>
      </c>
      <c r="H118" t="s">
        <v>613</v>
      </c>
      <c r="I118">
        <v>2022</v>
      </c>
      <c r="J118">
        <v>3</v>
      </c>
      <c r="K118">
        <v>0</v>
      </c>
      <c r="L118">
        <v>0</v>
      </c>
      <c r="M118" t="s">
        <v>39</v>
      </c>
      <c r="N118" t="s">
        <v>40</v>
      </c>
      <c r="O118">
        <f t="shared" si="4"/>
        <v>1</v>
      </c>
      <c r="P118" t="s">
        <v>235</v>
      </c>
      <c r="Q118" t="s">
        <v>303</v>
      </c>
      <c r="R118" t="s">
        <v>614</v>
      </c>
      <c r="S118" t="s">
        <v>43</v>
      </c>
      <c r="U118">
        <v>2</v>
      </c>
      <c r="V118">
        <v>0</v>
      </c>
      <c r="W118" t="s">
        <v>44</v>
      </c>
      <c r="X118" t="s">
        <v>69</v>
      </c>
      <c r="Y118">
        <v>0</v>
      </c>
      <c r="Z118" t="s">
        <v>69</v>
      </c>
      <c r="AB118">
        <v>1200</v>
      </c>
      <c r="AC118" t="str">
        <f t="shared" si="5"/>
        <v>URBAN</v>
      </c>
      <c r="AD118" t="s">
        <v>147</v>
      </c>
      <c r="AE118">
        <v>632</v>
      </c>
      <c r="AG118">
        <v>0</v>
      </c>
      <c r="AH118" t="s">
        <v>89</v>
      </c>
      <c r="AI118" t="s">
        <v>48</v>
      </c>
      <c r="AJ118">
        <v>1996</v>
      </c>
      <c r="AK118" t="s">
        <v>615</v>
      </c>
    </row>
    <row r="119" spans="2:37" x14ac:dyDescent="0.3">
      <c r="B119">
        <f t="shared" si="3"/>
        <v>3</v>
      </c>
      <c r="C119" t="s">
        <v>60</v>
      </c>
      <c r="D119" t="s">
        <v>89</v>
      </c>
      <c r="E119">
        <v>987</v>
      </c>
      <c r="F119">
        <v>142513</v>
      </c>
      <c r="G119" t="s">
        <v>90</v>
      </c>
      <c r="H119" t="s">
        <v>616</v>
      </c>
      <c r="I119">
        <v>2022</v>
      </c>
      <c r="J119">
        <v>6</v>
      </c>
      <c r="K119">
        <v>0</v>
      </c>
      <c r="L119">
        <v>0</v>
      </c>
      <c r="M119" t="s">
        <v>39</v>
      </c>
      <c r="N119" t="s">
        <v>40</v>
      </c>
      <c r="O119">
        <f t="shared" si="4"/>
        <v>1</v>
      </c>
      <c r="Q119" t="s">
        <v>328</v>
      </c>
      <c r="R119" t="s">
        <v>458</v>
      </c>
      <c r="S119" t="s">
        <v>43</v>
      </c>
      <c r="U119">
        <v>0</v>
      </c>
      <c r="V119">
        <v>0</v>
      </c>
      <c r="W119" t="s">
        <v>44</v>
      </c>
      <c r="X119" t="s">
        <v>221</v>
      </c>
      <c r="Y119">
        <v>0</v>
      </c>
      <c r="Z119" t="s">
        <v>69</v>
      </c>
      <c r="AB119" t="s">
        <v>459</v>
      </c>
      <c r="AC119" t="str">
        <f t="shared" si="5"/>
        <v>RURAL</v>
      </c>
      <c r="AD119" t="s">
        <v>133</v>
      </c>
      <c r="AE119">
        <v>1</v>
      </c>
      <c r="AG119">
        <v>0</v>
      </c>
      <c r="AH119" t="s">
        <v>89</v>
      </c>
      <c r="AI119" t="s">
        <v>48</v>
      </c>
      <c r="AJ119">
        <v>1987</v>
      </c>
      <c r="AK119" t="s">
        <v>460</v>
      </c>
    </row>
    <row r="120" spans="2:37" x14ac:dyDescent="0.3">
      <c r="B120">
        <f t="shared" si="3"/>
        <v>10</v>
      </c>
      <c r="C120" t="s">
        <v>184</v>
      </c>
      <c r="D120" t="s">
        <v>339</v>
      </c>
      <c r="E120">
        <v>4300</v>
      </c>
      <c r="F120" t="s">
        <v>617</v>
      </c>
      <c r="G120" t="s">
        <v>63</v>
      </c>
      <c r="H120" t="s">
        <v>618</v>
      </c>
      <c r="I120">
        <v>2022</v>
      </c>
      <c r="J120">
        <v>7</v>
      </c>
      <c r="K120">
        <v>4500</v>
      </c>
      <c r="L120">
        <v>2100</v>
      </c>
      <c r="M120" t="s">
        <v>39</v>
      </c>
      <c r="N120" t="s">
        <v>619</v>
      </c>
      <c r="O120">
        <f t="shared" si="4"/>
        <v>7</v>
      </c>
      <c r="Q120" t="s">
        <v>592</v>
      </c>
      <c r="R120" t="s">
        <v>620</v>
      </c>
      <c r="S120" t="s">
        <v>68</v>
      </c>
      <c r="U120">
        <v>2</v>
      </c>
      <c r="V120">
        <v>3</v>
      </c>
      <c r="W120" t="s">
        <v>44</v>
      </c>
      <c r="X120" t="s">
        <v>69</v>
      </c>
      <c r="Y120">
        <v>0</v>
      </c>
      <c r="Z120" t="s">
        <v>69</v>
      </c>
      <c r="AC120" t="str">
        <f t="shared" si="5"/>
        <v>RURAL</v>
      </c>
      <c r="AD120" t="s">
        <v>246</v>
      </c>
      <c r="AE120">
        <v>4310</v>
      </c>
      <c r="AG120">
        <v>14200</v>
      </c>
      <c r="AH120" t="s">
        <v>71</v>
      </c>
      <c r="AI120" t="s">
        <v>86</v>
      </c>
      <c r="AJ120">
        <v>1996</v>
      </c>
      <c r="AK120" t="s">
        <v>621</v>
      </c>
    </row>
    <row r="121" spans="2:37" x14ac:dyDescent="0.3">
      <c r="B121">
        <f t="shared" si="3"/>
        <v>12</v>
      </c>
      <c r="C121" t="s">
        <v>261</v>
      </c>
      <c r="D121" t="s">
        <v>176</v>
      </c>
      <c r="E121">
        <v>7961</v>
      </c>
      <c r="G121" t="s">
        <v>169</v>
      </c>
      <c r="H121" t="s">
        <v>622</v>
      </c>
      <c r="I121">
        <v>2022</v>
      </c>
      <c r="J121">
        <v>11</v>
      </c>
      <c r="K121">
        <v>14200</v>
      </c>
      <c r="L121">
        <v>3450</v>
      </c>
      <c r="M121" t="s">
        <v>129</v>
      </c>
      <c r="N121" t="s">
        <v>40</v>
      </c>
      <c r="O121">
        <f t="shared" si="4"/>
        <v>1</v>
      </c>
      <c r="Q121" t="s">
        <v>427</v>
      </c>
      <c r="R121" t="s">
        <v>623</v>
      </c>
      <c r="S121" t="s">
        <v>68</v>
      </c>
      <c r="U121">
        <v>2</v>
      </c>
      <c r="V121">
        <v>5</v>
      </c>
      <c r="W121" t="s">
        <v>44</v>
      </c>
      <c r="X121" t="s">
        <v>69</v>
      </c>
      <c r="Y121">
        <v>0</v>
      </c>
      <c r="AB121" t="s">
        <v>624</v>
      </c>
      <c r="AC121" t="str">
        <f t="shared" si="5"/>
        <v>RURAL</v>
      </c>
      <c r="AD121" t="s">
        <v>224</v>
      </c>
      <c r="AE121">
        <v>3186</v>
      </c>
      <c r="AG121">
        <v>14200</v>
      </c>
      <c r="AH121" t="s">
        <v>182</v>
      </c>
      <c r="AI121" t="s">
        <v>48</v>
      </c>
      <c r="AJ121">
        <v>2022</v>
      </c>
      <c r="AK121" t="s">
        <v>625</v>
      </c>
    </row>
    <row r="122" spans="2:37" x14ac:dyDescent="0.3">
      <c r="B122">
        <f t="shared" si="3"/>
        <v>1</v>
      </c>
      <c r="C122" t="s">
        <v>34</v>
      </c>
      <c r="D122" t="s">
        <v>89</v>
      </c>
      <c r="E122">
        <v>249</v>
      </c>
      <c r="F122" t="s">
        <v>626</v>
      </c>
      <c r="G122" t="s">
        <v>90</v>
      </c>
      <c r="H122" t="s">
        <v>627</v>
      </c>
      <c r="I122">
        <v>2022</v>
      </c>
      <c r="J122">
        <v>1</v>
      </c>
      <c r="K122">
        <v>0</v>
      </c>
      <c r="L122">
        <v>0</v>
      </c>
      <c r="M122" t="s">
        <v>39</v>
      </c>
      <c r="N122" t="s">
        <v>40</v>
      </c>
      <c r="O122">
        <f t="shared" si="4"/>
        <v>1</v>
      </c>
      <c r="Q122" t="s">
        <v>206</v>
      </c>
      <c r="R122" t="s">
        <v>628</v>
      </c>
      <c r="S122" t="s">
        <v>43</v>
      </c>
      <c r="U122">
        <v>0</v>
      </c>
      <c r="V122">
        <v>0</v>
      </c>
      <c r="W122" t="s">
        <v>44</v>
      </c>
      <c r="X122" t="s">
        <v>69</v>
      </c>
      <c r="Y122">
        <v>0</v>
      </c>
      <c r="Z122" t="s">
        <v>56</v>
      </c>
      <c r="AB122" t="s">
        <v>629</v>
      </c>
      <c r="AC122" t="str">
        <f t="shared" si="5"/>
        <v>RURAL</v>
      </c>
      <c r="AD122" t="s">
        <v>58</v>
      </c>
      <c r="AE122">
        <v>174</v>
      </c>
      <c r="AG122">
        <v>0</v>
      </c>
      <c r="AH122" t="s">
        <v>89</v>
      </c>
      <c r="AI122" t="s">
        <v>48</v>
      </c>
      <c r="AJ122">
        <v>2005</v>
      </c>
      <c r="AK122" t="s">
        <v>630</v>
      </c>
    </row>
    <row r="123" spans="2:37" x14ac:dyDescent="0.3">
      <c r="B123">
        <f t="shared" si="3"/>
        <v>7</v>
      </c>
      <c r="C123" t="s">
        <v>115</v>
      </c>
      <c r="D123" t="s">
        <v>89</v>
      </c>
      <c r="E123">
        <v>426</v>
      </c>
      <c r="G123" t="s">
        <v>90</v>
      </c>
      <c r="H123" t="s">
        <v>631</v>
      </c>
      <c r="I123">
        <v>2022</v>
      </c>
      <c r="J123">
        <v>2</v>
      </c>
      <c r="K123">
        <v>0</v>
      </c>
      <c r="L123">
        <v>0</v>
      </c>
      <c r="M123" t="s">
        <v>39</v>
      </c>
      <c r="N123" t="s">
        <v>40</v>
      </c>
      <c r="O123">
        <f t="shared" si="4"/>
        <v>1</v>
      </c>
      <c r="Q123" t="s">
        <v>303</v>
      </c>
      <c r="R123" t="s">
        <v>632</v>
      </c>
      <c r="S123" t="s">
        <v>43</v>
      </c>
      <c r="T123" t="s">
        <v>633</v>
      </c>
      <c r="U123">
        <v>0</v>
      </c>
      <c r="V123">
        <v>0</v>
      </c>
      <c r="W123" t="s">
        <v>44</v>
      </c>
      <c r="X123" t="s">
        <v>69</v>
      </c>
      <c r="Y123">
        <v>999</v>
      </c>
      <c r="Z123" t="s">
        <v>56</v>
      </c>
      <c r="AB123" t="s">
        <v>634</v>
      </c>
      <c r="AC123" t="str">
        <f t="shared" si="5"/>
        <v>RURAL</v>
      </c>
      <c r="AD123" t="s">
        <v>325</v>
      </c>
      <c r="AE123">
        <v>7571</v>
      </c>
      <c r="AG123">
        <v>0</v>
      </c>
      <c r="AH123" t="s">
        <v>89</v>
      </c>
      <c r="AI123" t="s">
        <v>48</v>
      </c>
      <c r="AJ123">
        <v>2022</v>
      </c>
      <c r="AK123" t="s">
        <v>635</v>
      </c>
    </row>
    <row r="124" spans="2:37" x14ac:dyDescent="0.3">
      <c r="B124">
        <f t="shared" si="3"/>
        <v>10</v>
      </c>
      <c r="C124" t="s">
        <v>184</v>
      </c>
      <c r="D124" t="s">
        <v>99</v>
      </c>
      <c r="E124">
        <v>5740</v>
      </c>
      <c r="F124" t="s">
        <v>636</v>
      </c>
      <c r="G124" t="s">
        <v>37</v>
      </c>
      <c r="H124" t="s">
        <v>38</v>
      </c>
      <c r="I124">
        <v>2022</v>
      </c>
      <c r="J124">
        <v>6</v>
      </c>
      <c r="K124">
        <v>1939</v>
      </c>
      <c r="L124">
        <v>0</v>
      </c>
      <c r="M124" t="s">
        <v>39</v>
      </c>
      <c r="N124" t="s">
        <v>40</v>
      </c>
      <c r="O124">
        <f t="shared" si="4"/>
        <v>1</v>
      </c>
      <c r="Q124" t="s">
        <v>249</v>
      </c>
      <c r="R124" t="s">
        <v>637</v>
      </c>
      <c r="S124" t="s">
        <v>43</v>
      </c>
      <c r="U124">
        <v>2</v>
      </c>
      <c r="V124">
        <v>6</v>
      </c>
      <c r="W124" t="s">
        <v>44</v>
      </c>
      <c r="X124" t="s">
        <v>45</v>
      </c>
      <c r="Y124">
        <v>0</v>
      </c>
      <c r="Z124" t="s">
        <v>45</v>
      </c>
      <c r="AB124" t="s">
        <v>638</v>
      </c>
      <c r="AC124" t="str">
        <f t="shared" si="5"/>
        <v>RURAL</v>
      </c>
      <c r="AD124" t="s">
        <v>239</v>
      </c>
      <c r="AE124">
        <v>7020</v>
      </c>
      <c r="AG124">
        <v>0</v>
      </c>
      <c r="AH124" t="s">
        <v>47</v>
      </c>
      <c r="AI124" t="s">
        <v>48</v>
      </c>
      <c r="AJ124">
        <v>1948</v>
      </c>
      <c r="AK124" t="s">
        <v>639</v>
      </c>
    </row>
    <row r="125" spans="2:37" x14ac:dyDescent="0.3">
      <c r="B125">
        <f t="shared" si="3"/>
        <v>10</v>
      </c>
      <c r="C125" t="s">
        <v>184</v>
      </c>
      <c r="D125" t="s">
        <v>99</v>
      </c>
      <c r="E125">
        <v>4400</v>
      </c>
      <c r="G125" t="s">
        <v>37</v>
      </c>
      <c r="H125" t="s">
        <v>640</v>
      </c>
      <c r="I125">
        <v>2022</v>
      </c>
      <c r="J125">
        <v>7</v>
      </c>
      <c r="K125">
        <v>1715</v>
      </c>
      <c r="L125">
        <v>0</v>
      </c>
      <c r="M125" t="s">
        <v>39</v>
      </c>
      <c r="N125" t="s">
        <v>40</v>
      </c>
      <c r="O125">
        <f t="shared" si="4"/>
        <v>1</v>
      </c>
      <c r="P125" t="s">
        <v>641</v>
      </c>
      <c r="Q125" t="s">
        <v>328</v>
      </c>
      <c r="R125" t="s">
        <v>642</v>
      </c>
      <c r="S125" t="s">
        <v>43</v>
      </c>
      <c r="U125">
        <v>2</v>
      </c>
      <c r="V125">
        <v>4</v>
      </c>
      <c r="W125" t="s">
        <v>44</v>
      </c>
      <c r="X125" t="s">
        <v>221</v>
      </c>
      <c r="Y125">
        <v>0</v>
      </c>
      <c r="Z125" t="s">
        <v>69</v>
      </c>
      <c r="AB125" t="s">
        <v>643</v>
      </c>
      <c r="AC125" t="str">
        <f t="shared" si="5"/>
        <v>URBAN</v>
      </c>
      <c r="AD125" t="s">
        <v>147</v>
      </c>
      <c r="AE125">
        <v>612</v>
      </c>
      <c r="AG125">
        <v>0</v>
      </c>
      <c r="AH125" t="s">
        <v>47</v>
      </c>
      <c r="AI125" t="s">
        <v>48</v>
      </c>
      <c r="AJ125">
        <v>1998</v>
      </c>
      <c r="AK125" t="s">
        <v>644</v>
      </c>
    </row>
    <row r="126" spans="2:37" x14ac:dyDescent="0.3">
      <c r="B126">
        <f t="shared" si="3"/>
        <v>1</v>
      </c>
      <c r="C126" t="s">
        <v>34</v>
      </c>
      <c r="D126" t="s">
        <v>89</v>
      </c>
      <c r="E126">
        <v>880</v>
      </c>
      <c r="F126" t="s">
        <v>645</v>
      </c>
      <c r="G126" t="s">
        <v>90</v>
      </c>
      <c r="H126" t="s">
        <v>38</v>
      </c>
      <c r="I126">
        <v>2022</v>
      </c>
      <c r="J126">
        <v>2</v>
      </c>
      <c r="K126">
        <v>0</v>
      </c>
      <c r="L126">
        <v>0</v>
      </c>
      <c r="M126" t="s">
        <v>39</v>
      </c>
      <c r="N126" t="s">
        <v>40</v>
      </c>
      <c r="O126">
        <f t="shared" si="4"/>
        <v>1</v>
      </c>
      <c r="P126" t="s">
        <v>645</v>
      </c>
      <c r="Q126" t="s">
        <v>386</v>
      </c>
      <c r="R126">
        <v>851</v>
      </c>
      <c r="S126" t="s">
        <v>43</v>
      </c>
      <c r="U126">
        <v>0</v>
      </c>
      <c r="V126">
        <v>0</v>
      </c>
      <c r="W126" t="s">
        <v>44</v>
      </c>
      <c r="X126" t="s">
        <v>237</v>
      </c>
      <c r="Y126">
        <v>0</v>
      </c>
      <c r="Z126" t="s">
        <v>69</v>
      </c>
      <c r="AB126" t="s">
        <v>646</v>
      </c>
      <c r="AC126" t="str">
        <f t="shared" si="5"/>
        <v>RURAL</v>
      </c>
      <c r="AD126" t="s">
        <v>97</v>
      </c>
      <c r="AE126">
        <v>9320</v>
      </c>
      <c r="AG126">
        <v>0</v>
      </c>
      <c r="AH126" t="s">
        <v>89</v>
      </c>
      <c r="AI126" t="s">
        <v>48</v>
      </c>
      <c r="AJ126">
        <v>1992</v>
      </c>
      <c r="AK126" t="s">
        <v>647</v>
      </c>
    </row>
    <row r="127" spans="2:37" x14ac:dyDescent="0.3">
      <c r="B127">
        <f t="shared" si="3"/>
        <v>10</v>
      </c>
      <c r="C127" t="s">
        <v>184</v>
      </c>
      <c r="D127" t="s">
        <v>51</v>
      </c>
      <c r="E127">
        <v>1300</v>
      </c>
      <c r="F127" t="s">
        <v>648</v>
      </c>
      <c r="G127" t="s">
        <v>37</v>
      </c>
      <c r="H127" t="s">
        <v>649</v>
      </c>
      <c r="I127">
        <v>2022</v>
      </c>
      <c r="J127">
        <v>10</v>
      </c>
      <c r="K127">
        <v>0</v>
      </c>
      <c r="L127">
        <v>0</v>
      </c>
      <c r="M127" t="s">
        <v>39</v>
      </c>
      <c r="N127" t="s">
        <v>40</v>
      </c>
      <c r="O127">
        <f t="shared" si="4"/>
        <v>1</v>
      </c>
      <c r="Q127" t="s">
        <v>592</v>
      </c>
      <c r="R127">
        <v>1300</v>
      </c>
      <c r="S127" t="s">
        <v>43</v>
      </c>
      <c r="U127">
        <v>2</v>
      </c>
      <c r="V127">
        <v>5</v>
      </c>
      <c r="W127" t="s">
        <v>44</v>
      </c>
      <c r="X127" t="s">
        <v>69</v>
      </c>
      <c r="Y127">
        <v>0</v>
      </c>
      <c r="Z127" t="s">
        <v>104</v>
      </c>
      <c r="AB127" t="s">
        <v>650</v>
      </c>
      <c r="AC127" t="str">
        <f t="shared" si="5"/>
        <v>URBAN</v>
      </c>
      <c r="AD127" t="s">
        <v>147</v>
      </c>
      <c r="AE127">
        <v>2018</v>
      </c>
      <c r="AG127">
        <v>0</v>
      </c>
      <c r="AH127" t="s">
        <v>47</v>
      </c>
      <c r="AI127" t="s">
        <v>48</v>
      </c>
      <c r="AJ127">
        <v>1975</v>
      </c>
      <c r="AK127" t="s">
        <v>651</v>
      </c>
    </row>
    <row r="128" spans="2:37" x14ac:dyDescent="0.3">
      <c r="B128">
        <f t="shared" si="3"/>
        <v>3</v>
      </c>
      <c r="C128" t="s">
        <v>60</v>
      </c>
      <c r="D128" t="s">
        <v>89</v>
      </c>
      <c r="E128">
        <v>744</v>
      </c>
      <c r="F128" t="s">
        <v>652</v>
      </c>
      <c r="G128" t="s">
        <v>90</v>
      </c>
      <c r="H128" t="s">
        <v>653</v>
      </c>
      <c r="I128">
        <v>2022</v>
      </c>
      <c r="J128">
        <v>8</v>
      </c>
      <c r="K128">
        <v>0</v>
      </c>
      <c r="L128">
        <v>0</v>
      </c>
      <c r="M128" t="s">
        <v>39</v>
      </c>
      <c r="N128" t="s">
        <v>40</v>
      </c>
      <c r="O128">
        <f t="shared" si="4"/>
        <v>1</v>
      </c>
      <c r="Q128" t="s">
        <v>213</v>
      </c>
      <c r="R128" t="s">
        <v>654</v>
      </c>
      <c r="S128" t="s">
        <v>43</v>
      </c>
      <c r="U128">
        <v>0</v>
      </c>
      <c r="V128">
        <v>0</v>
      </c>
      <c r="W128" t="s">
        <v>44</v>
      </c>
      <c r="X128" t="s">
        <v>95</v>
      </c>
      <c r="Y128">
        <v>0</v>
      </c>
      <c r="Z128" t="s">
        <v>95</v>
      </c>
      <c r="AB128">
        <v>750</v>
      </c>
      <c r="AC128" t="str">
        <f t="shared" si="5"/>
        <v>URBAN</v>
      </c>
      <c r="AD128" t="s">
        <v>147</v>
      </c>
      <c r="AE128">
        <v>622</v>
      </c>
      <c r="AG128">
        <v>0</v>
      </c>
      <c r="AH128" t="s">
        <v>89</v>
      </c>
      <c r="AI128" t="s">
        <v>48</v>
      </c>
      <c r="AJ128">
        <v>1978</v>
      </c>
      <c r="AK128" t="s">
        <v>655</v>
      </c>
    </row>
    <row r="129" spans="2:37" x14ac:dyDescent="0.3">
      <c r="B129">
        <f t="shared" si="3"/>
        <v>12</v>
      </c>
      <c r="C129" t="s">
        <v>261</v>
      </c>
      <c r="D129" t="s">
        <v>89</v>
      </c>
      <c r="E129">
        <v>400</v>
      </c>
      <c r="F129" t="s">
        <v>656</v>
      </c>
      <c r="G129" t="s">
        <v>90</v>
      </c>
      <c r="H129" t="s">
        <v>38</v>
      </c>
      <c r="I129">
        <v>2022</v>
      </c>
      <c r="J129">
        <v>1</v>
      </c>
      <c r="K129">
        <v>0</v>
      </c>
      <c r="L129">
        <v>0</v>
      </c>
      <c r="M129" t="s">
        <v>39</v>
      </c>
      <c r="N129" t="s">
        <v>40</v>
      </c>
      <c r="O129">
        <f t="shared" si="4"/>
        <v>1</v>
      </c>
      <c r="P129">
        <v>6060</v>
      </c>
      <c r="Q129" t="s">
        <v>206</v>
      </c>
      <c r="R129" t="s">
        <v>657</v>
      </c>
      <c r="S129" t="s">
        <v>43</v>
      </c>
      <c r="U129">
        <v>0</v>
      </c>
      <c r="V129">
        <v>0</v>
      </c>
      <c r="W129" t="s">
        <v>44</v>
      </c>
      <c r="X129" t="s">
        <v>69</v>
      </c>
      <c r="Y129">
        <v>0</v>
      </c>
      <c r="Z129" t="s">
        <v>69</v>
      </c>
      <c r="AC129" t="str">
        <f t="shared" si="5"/>
        <v>RURAL</v>
      </c>
      <c r="AD129" t="s">
        <v>295</v>
      </c>
      <c r="AE129">
        <v>3173</v>
      </c>
      <c r="AG129">
        <v>0</v>
      </c>
      <c r="AH129" t="s">
        <v>89</v>
      </c>
      <c r="AI129" t="s">
        <v>48</v>
      </c>
      <c r="AJ129">
        <v>1990</v>
      </c>
      <c r="AK129" t="s">
        <v>658</v>
      </c>
    </row>
    <row r="130" spans="2:37" x14ac:dyDescent="0.3">
      <c r="B130">
        <f t="shared" si="3"/>
        <v>7</v>
      </c>
      <c r="C130" t="s">
        <v>115</v>
      </c>
      <c r="D130" t="s">
        <v>99</v>
      </c>
      <c r="E130">
        <v>1997</v>
      </c>
      <c r="F130" t="s">
        <v>659</v>
      </c>
      <c r="G130" t="s">
        <v>37</v>
      </c>
      <c r="H130" t="s">
        <v>660</v>
      </c>
      <c r="I130">
        <v>2022</v>
      </c>
      <c r="J130">
        <v>4</v>
      </c>
      <c r="K130">
        <v>1515</v>
      </c>
      <c r="L130">
        <v>0</v>
      </c>
      <c r="M130" t="s">
        <v>39</v>
      </c>
      <c r="N130" t="s">
        <v>40</v>
      </c>
      <c r="O130">
        <f t="shared" si="4"/>
        <v>1</v>
      </c>
      <c r="P130" t="s">
        <v>661</v>
      </c>
      <c r="Q130" t="s">
        <v>130</v>
      </c>
      <c r="R130" t="s">
        <v>662</v>
      </c>
      <c r="S130" t="s">
        <v>43</v>
      </c>
      <c r="U130">
        <v>2</v>
      </c>
      <c r="V130">
        <v>5</v>
      </c>
      <c r="W130" t="s">
        <v>44</v>
      </c>
      <c r="X130" t="s">
        <v>69</v>
      </c>
      <c r="Y130">
        <v>0</v>
      </c>
      <c r="Z130" t="s">
        <v>69</v>
      </c>
      <c r="AB130" t="s">
        <v>663</v>
      </c>
      <c r="AC130" t="str">
        <f t="shared" si="5"/>
        <v>RURAL</v>
      </c>
      <c r="AD130" t="s">
        <v>664</v>
      </c>
      <c r="AE130">
        <v>7410</v>
      </c>
      <c r="AG130">
        <v>0</v>
      </c>
      <c r="AH130" t="s">
        <v>47</v>
      </c>
      <c r="AI130" t="s">
        <v>48</v>
      </c>
      <c r="AJ130">
        <v>1992</v>
      </c>
      <c r="AK130" t="s">
        <v>665</v>
      </c>
    </row>
    <row r="131" spans="2:37" x14ac:dyDescent="0.3">
      <c r="B131">
        <f t="shared" ref="B131:B194" si="6">IF(C131="RED",1,IF(C131="Green",2,IF(C131="WHITE",3,IF(C131="YELLOW",4,IF(C131="PINK",5,IF(C131="ORANGE",6,IF(C131="BLACK",7,IF(C131="SILVER",8,IF(C131="Cream",9,IF(C131="BLUE",10,IF(C131="BROWN",11,IF(C131="GREY",12,IF(C131="PURPLE",13,IF(C131="GOLD",14,0))))))))))))))</f>
        <v>3</v>
      </c>
      <c r="C131" t="s">
        <v>60</v>
      </c>
      <c r="D131" t="s">
        <v>176</v>
      </c>
      <c r="E131">
        <v>6720</v>
      </c>
      <c r="F131" t="s">
        <v>666</v>
      </c>
      <c r="G131" t="s">
        <v>63</v>
      </c>
      <c r="H131" t="s">
        <v>667</v>
      </c>
      <c r="I131">
        <v>2022</v>
      </c>
      <c r="J131">
        <v>11</v>
      </c>
      <c r="K131">
        <v>10100</v>
      </c>
      <c r="L131">
        <v>2910</v>
      </c>
      <c r="M131" t="s">
        <v>39</v>
      </c>
      <c r="N131" t="s">
        <v>40</v>
      </c>
      <c r="O131">
        <f t="shared" ref="O131:O194" si="7">IF(N131="PRIVATE",1,IF(N131="WHOLESALE/RETAIL/TRADE",2,IF(N131="AGRICULTURE/FORESTRY/FISHING",3,IF(N131="COMMERCIAL ROAD TRANSPORT",4,IF(N131="BUSINESS/FINANCIAL",5,IF(N131="ELECTRICITY/GAS/WATER",6,IF(N131="CONSTRUCTING",7,0)))))))</f>
        <v>1</v>
      </c>
      <c r="P131" t="s">
        <v>668</v>
      </c>
      <c r="Q131" t="s">
        <v>427</v>
      </c>
      <c r="R131" t="s">
        <v>580</v>
      </c>
      <c r="S131" t="s">
        <v>68</v>
      </c>
      <c r="U131">
        <v>2</v>
      </c>
      <c r="V131">
        <v>3</v>
      </c>
      <c r="W131" t="s">
        <v>44</v>
      </c>
      <c r="X131" t="s">
        <v>69</v>
      </c>
      <c r="Y131">
        <v>0</v>
      </c>
      <c r="Z131" t="s">
        <v>69</v>
      </c>
      <c r="AC131" t="str">
        <f t="shared" ref="AC131:AC194" si="8">IF(OR(AD131="CHRISTCHURCH CITY",AD131="AUCKLAND",AD131="HAMILTON CITY",AD131="WELLINGTON CITY"),"URBAN", "RURAL")</f>
        <v>RURAL</v>
      </c>
      <c r="AD131" t="s">
        <v>290</v>
      </c>
      <c r="AE131">
        <v>7992</v>
      </c>
      <c r="AG131">
        <v>14200</v>
      </c>
      <c r="AH131" t="s">
        <v>182</v>
      </c>
      <c r="AI131" t="s">
        <v>48</v>
      </c>
      <c r="AJ131">
        <v>1987</v>
      </c>
      <c r="AK131" t="s">
        <v>669</v>
      </c>
    </row>
    <row r="132" spans="2:37" x14ac:dyDescent="0.3">
      <c r="B132">
        <f t="shared" si="6"/>
        <v>1</v>
      </c>
      <c r="C132" t="s">
        <v>34</v>
      </c>
      <c r="D132" t="s">
        <v>99</v>
      </c>
      <c r="E132">
        <v>1300</v>
      </c>
      <c r="F132" t="s">
        <v>670</v>
      </c>
      <c r="G132" t="s">
        <v>37</v>
      </c>
      <c r="H132" t="s">
        <v>38</v>
      </c>
      <c r="I132">
        <v>2022</v>
      </c>
      <c r="J132">
        <v>3</v>
      </c>
      <c r="K132">
        <v>0</v>
      </c>
      <c r="L132">
        <v>0</v>
      </c>
      <c r="M132" t="s">
        <v>39</v>
      </c>
      <c r="N132" t="s">
        <v>40</v>
      </c>
      <c r="O132">
        <f t="shared" si="7"/>
        <v>1</v>
      </c>
      <c r="Q132" t="s">
        <v>592</v>
      </c>
      <c r="R132">
        <v>1200</v>
      </c>
      <c r="S132" t="s">
        <v>43</v>
      </c>
      <c r="U132">
        <v>2</v>
      </c>
      <c r="V132">
        <v>5</v>
      </c>
      <c r="W132" t="s">
        <v>44</v>
      </c>
      <c r="X132" t="s">
        <v>69</v>
      </c>
      <c r="Y132">
        <v>0</v>
      </c>
      <c r="Z132" t="s">
        <v>104</v>
      </c>
      <c r="AC132" t="str">
        <f t="shared" si="8"/>
        <v>URBAN</v>
      </c>
      <c r="AD132" t="s">
        <v>147</v>
      </c>
      <c r="AE132">
        <v>2014</v>
      </c>
      <c r="AG132">
        <v>0</v>
      </c>
      <c r="AH132" t="s">
        <v>47</v>
      </c>
      <c r="AI132" t="s">
        <v>48</v>
      </c>
      <c r="AJ132">
        <v>1969</v>
      </c>
      <c r="AK132" t="s">
        <v>671</v>
      </c>
    </row>
    <row r="133" spans="2:37" x14ac:dyDescent="0.3">
      <c r="B133">
        <f t="shared" si="6"/>
        <v>12</v>
      </c>
      <c r="C133" t="s">
        <v>261</v>
      </c>
      <c r="D133" t="s">
        <v>142</v>
      </c>
      <c r="E133">
        <v>1622</v>
      </c>
      <c r="F133" t="s">
        <v>672</v>
      </c>
      <c r="G133" t="s">
        <v>37</v>
      </c>
      <c r="H133" t="s">
        <v>673</v>
      </c>
      <c r="I133">
        <v>2022</v>
      </c>
      <c r="J133">
        <v>8</v>
      </c>
      <c r="K133">
        <v>1056</v>
      </c>
      <c r="L133">
        <v>0</v>
      </c>
      <c r="M133" t="s">
        <v>39</v>
      </c>
      <c r="N133" t="s">
        <v>40</v>
      </c>
      <c r="O133">
        <f t="shared" si="7"/>
        <v>1</v>
      </c>
      <c r="Q133" t="s">
        <v>674</v>
      </c>
      <c r="R133" t="s">
        <v>675</v>
      </c>
      <c r="S133" t="s">
        <v>43</v>
      </c>
      <c r="U133">
        <v>2</v>
      </c>
      <c r="V133">
        <v>2</v>
      </c>
      <c r="W133" t="s">
        <v>44</v>
      </c>
      <c r="X133" t="s">
        <v>45</v>
      </c>
      <c r="Y133">
        <v>0</v>
      </c>
      <c r="Z133" t="s">
        <v>45</v>
      </c>
      <c r="AB133" t="s">
        <v>676</v>
      </c>
      <c r="AC133" t="str">
        <f t="shared" si="8"/>
        <v>RURAL</v>
      </c>
      <c r="AD133" t="s">
        <v>677</v>
      </c>
      <c r="AE133">
        <v>9371</v>
      </c>
      <c r="AG133">
        <v>0</v>
      </c>
      <c r="AH133" t="s">
        <v>47</v>
      </c>
      <c r="AI133" t="s">
        <v>48</v>
      </c>
      <c r="AJ133">
        <v>1962</v>
      </c>
      <c r="AK133" t="s">
        <v>678</v>
      </c>
    </row>
    <row r="134" spans="2:37" x14ac:dyDescent="0.3">
      <c r="B134">
        <f t="shared" si="6"/>
        <v>10</v>
      </c>
      <c r="C134" t="s">
        <v>184</v>
      </c>
      <c r="D134" t="s">
        <v>234</v>
      </c>
      <c r="E134">
        <v>980</v>
      </c>
      <c r="F134" t="s">
        <v>679</v>
      </c>
      <c r="G134" t="s">
        <v>37</v>
      </c>
      <c r="H134" t="s">
        <v>456</v>
      </c>
      <c r="I134">
        <v>2022</v>
      </c>
      <c r="J134">
        <v>2</v>
      </c>
      <c r="K134">
        <v>1005</v>
      </c>
      <c r="L134">
        <v>0</v>
      </c>
      <c r="M134" t="s">
        <v>39</v>
      </c>
      <c r="N134" t="s">
        <v>40</v>
      </c>
      <c r="O134">
        <f t="shared" si="7"/>
        <v>1</v>
      </c>
      <c r="P134" t="s">
        <v>680</v>
      </c>
      <c r="Q134" t="s">
        <v>557</v>
      </c>
      <c r="R134" t="s">
        <v>681</v>
      </c>
      <c r="S134" t="s">
        <v>43</v>
      </c>
      <c r="U134">
        <v>2</v>
      </c>
      <c r="V134">
        <v>5</v>
      </c>
      <c r="W134" t="s">
        <v>44</v>
      </c>
      <c r="X134" t="s">
        <v>69</v>
      </c>
      <c r="Y134">
        <v>0</v>
      </c>
      <c r="Z134" t="s">
        <v>69</v>
      </c>
      <c r="AC134" t="str">
        <f t="shared" si="8"/>
        <v>URBAN</v>
      </c>
      <c r="AD134" t="s">
        <v>46</v>
      </c>
      <c r="AE134">
        <v>8082</v>
      </c>
      <c r="AG134">
        <v>0</v>
      </c>
      <c r="AH134" t="s">
        <v>47</v>
      </c>
      <c r="AI134" t="s">
        <v>48</v>
      </c>
      <c r="AJ134">
        <v>1989</v>
      </c>
      <c r="AK134" t="s">
        <v>682</v>
      </c>
    </row>
    <row r="135" spans="2:37" x14ac:dyDescent="0.3">
      <c r="B135">
        <f t="shared" si="6"/>
        <v>7</v>
      </c>
      <c r="C135" t="s">
        <v>115</v>
      </c>
      <c r="D135" t="s">
        <v>142</v>
      </c>
      <c r="E135">
        <v>5720</v>
      </c>
      <c r="G135" t="s">
        <v>37</v>
      </c>
      <c r="H135" t="s">
        <v>38</v>
      </c>
      <c r="I135">
        <v>2022</v>
      </c>
      <c r="J135">
        <v>9</v>
      </c>
      <c r="K135">
        <v>1590</v>
      </c>
      <c r="L135">
        <v>0</v>
      </c>
      <c r="M135" t="s">
        <v>39</v>
      </c>
      <c r="N135" t="s">
        <v>40</v>
      </c>
      <c r="O135">
        <f t="shared" si="7"/>
        <v>1</v>
      </c>
      <c r="P135" t="s">
        <v>235</v>
      </c>
      <c r="Q135" t="s">
        <v>249</v>
      </c>
      <c r="R135" t="s">
        <v>414</v>
      </c>
      <c r="S135" t="s">
        <v>43</v>
      </c>
      <c r="U135">
        <v>2</v>
      </c>
      <c r="V135">
        <v>2</v>
      </c>
      <c r="W135" t="s">
        <v>44</v>
      </c>
      <c r="X135" t="s">
        <v>45</v>
      </c>
      <c r="Y135">
        <v>0</v>
      </c>
      <c r="Z135" t="s">
        <v>69</v>
      </c>
      <c r="AC135" t="str">
        <f t="shared" si="8"/>
        <v>RURAL</v>
      </c>
      <c r="AD135" t="s">
        <v>239</v>
      </c>
      <c r="AE135">
        <v>7091</v>
      </c>
      <c r="AG135">
        <v>0</v>
      </c>
      <c r="AH135" t="s">
        <v>47</v>
      </c>
      <c r="AI135" t="s">
        <v>48</v>
      </c>
      <c r="AJ135">
        <v>1989</v>
      </c>
      <c r="AK135" t="s">
        <v>683</v>
      </c>
    </row>
    <row r="136" spans="2:37" x14ac:dyDescent="0.3">
      <c r="B136">
        <f t="shared" si="6"/>
        <v>7</v>
      </c>
      <c r="C136" t="s">
        <v>115</v>
      </c>
      <c r="D136" t="s">
        <v>99</v>
      </c>
      <c r="E136">
        <v>5358</v>
      </c>
      <c r="F136" t="s">
        <v>684</v>
      </c>
      <c r="G136" t="s">
        <v>37</v>
      </c>
      <c r="H136" t="s">
        <v>38</v>
      </c>
      <c r="I136">
        <v>2022</v>
      </c>
      <c r="J136">
        <v>2</v>
      </c>
      <c r="K136">
        <v>1890</v>
      </c>
      <c r="L136">
        <v>0</v>
      </c>
      <c r="M136" t="s">
        <v>39</v>
      </c>
      <c r="N136" t="s">
        <v>40</v>
      </c>
      <c r="O136">
        <f t="shared" si="7"/>
        <v>1</v>
      </c>
      <c r="Q136" t="s">
        <v>249</v>
      </c>
      <c r="R136" t="s">
        <v>463</v>
      </c>
      <c r="S136" t="s">
        <v>43</v>
      </c>
      <c r="U136">
        <v>2</v>
      </c>
      <c r="V136">
        <v>6</v>
      </c>
      <c r="W136" t="s">
        <v>44</v>
      </c>
      <c r="X136" t="s">
        <v>45</v>
      </c>
      <c r="Y136">
        <v>0</v>
      </c>
      <c r="Z136" t="s">
        <v>45</v>
      </c>
      <c r="AC136" t="str">
        <f t="shared" si="8"/>
        <v>URBAN</v>
      </c>
      <c r="AD136" t="s">
        <v>215</v>
      </c>
      <c r="AE136">
        <v>3281</v>
      </c>
      <c r="AG136">
        <v>0</v>
      </c>
      <c r="AH136" t="s">
        <v>47</v>
      </c>
      <c r="AI136" t="s">
        <v>48</v>
      </c>
      <c r="AJ136">
        <v>1962</v>
      </c>
      <c r="AK136" t="s">
        <v>685</v>
      </c>
    </row>
    <row r="137" spans="2:37" x14ac:dyDescent="0.3">
      <c r="B137">
        <f t="shared" si="6"/>
        <v>3</v>
      </c>
      <c r="C137" t="s">
        <v>60</v>
      </c>
      <c r="D137" t="s">
        <v>142</v>
      </c>
      <c r="E137">
        <v>4942</v>
      </c>
      <c r="F137" t="s">
        <v>686</v>
      </c>
      <c r="G137" t="s">
        <v>37</v>
      </c>
      <c r="H137" t="s">
        <v>38</v>
      </c>
      <c r="I137">
        <v>2022</v>
      </c>
      <c r="J137">
        <v>5</v>
      </c>
      <c r="K137">
        <v>1822</v>
      </c>
      <c r="L137">
        <v>0</v>
      </c>
      <c r="M137" t="s">
        <v>39</v>
      </c>
      <c r="N137" t="s">
        <v>40</v>
      </c>
      <c r="O137">
        <f t="shared" si="7"/>
        <v>1</v>
      </c>
      <c r="Q137" t="s">
        <v>102</v>
      </c>
      <c r="R137" t="s">
        <v>111</v>
      </c>
      <c r="S137" t="s">
        <v>43</v>
      </c>
      <c r="U137">
        <v>2</v>
      </c>
      <c r="V137">
        <v>4</v>
      </c>
      <c r="W137" t="s">
        <v>44</v>
      </c>
      <c r="X137" t="s">
        <v>45</v>
      </c>
      <c r="Y137">
        <v>0</v>
      </c>
      <c r="Z137" t="s">
        <v>45</v>
      </c>
      <c r="AC137" t="str">
        <f t="shared" si="8"/>
        <v>URBAN</v>
      </c>
      <c r="AD137" t="s">
        <v>147</v>
      </c>
      <c r="AE137">
        <v>932</v>
      </c>
      <c r="AG137">
        <v>0</v>
      </c>
      <c r="AH137" t="s">
        <v>47</v>
      </c>
      <c r="AI137" t="s">
        <v>48</v>
      </c>
      <c r="AJ137">
        <v>1969</v>
      </c>
      <c r="AK137" t="s">
        <v>687</v>
      </c>
    </row>
    <row r="138" spans="2:37" x14ac:dyDescent="0.3">
      <c r="B138">
        <f t="shared" si="6"/>
        <v>1</v>
      </c>
      <c r="C138" t="s">
        <v>34</v>
      </c>
      <c r="D138" t="s">
        <v>99</v>
      </c>
      <c r="E138">
        <v>7432</v>
      </c>
      <c r="F138" t="s">
        <v>688</v>
      </c>
      <c r="G138" t="s">
        <v>37</v>
      </c>
      <c r="H138" t="s">
        <v>38</v>
      </c>
      <c r="I138">
        <v>2022</v>
      </c>
      <c r="J138">
        <v>6</v>
      </c>
      <c r="K138">
        <v>0</v>
      </c>
      <c r="L138">
        <v>0</v>
      </c>
      <c r="M138" t="s">
        <v>39</v>
      </c>
      <c r="N138" t="s">
        <v>40</v>
      </c>
      <c r="O138">
        <f t="shared" si="7"/>
        <v>1</v>
      </c>
      <c r="Q138" t="s">
        <v>249</v>
      </c>
      <c r="R138" t="s">
        <v>689</v>
      </c>
      <c r="S138" t="s">
        <v>43</v>
      </c>
      <c r="U138">
        <v>2</v>
      </c>
      <c r="V138">
        <v>2</v>
      </c>
      <c r="W138" t="s">
        <v>44</v>
      </c>
      <c r="X138" t="s">
        <v>45</v>
      </c>
      <c r="Y138">
        <v>0</v>
      </c>
      <c r="Z138" t="s">
        <v>45</v>
      </c>
      <c r="AB138" t="s">
        <v>469</v>
      </c>
      <c r="AC138" t="str">
        <f t="shared" si="8"/>
        <v>URBAN</v>
      </c>
      <c r="AD138" t="s">
        <v>215</v>
      </c>
      <c r="AE138">
        <v>3204</v>
      </c>
      <c r="AG138">
        <v>0</v>
      </c>
      <c r="AH138" t="s">
        <v>47</v>
      </c>
      <c r="AI138" t="s">
        <v>48</v>
      </c>
      <c r="AJ138">
        <v>1969</v>
      </c>
      <c r="AK138" t="s">
        <v>690</v>
      </c>
    </row>
    <row r="139" spans="2:37" x14ac:dyDescent="0.3">
      <c r="B139">
        <f t="shared" si="6"/>
        <v>1</v>
      </c>
      <c r="C139" t="s">
        <v>34</v>
      </c>
      <c r="D139" t="s">
        <v>61</v>
      </c>
      <c r="E139">
        <v>6000</v>
      </c>
      <c r="G139" t="s">
        <v>63</v>
      </c>
      <c r="H139" t="s">
        <v>691</v>
      </c>
      <c r="I139">
        <v>2022</v>
      </c>
      <c r="J139">
        <v>7</v>
      </c>
      <c r="K139">
        <v>5216</v>
      </c>
      <c r="L139">
        <v>2100</v>
      </c>
      <c r="M139" t="s">
        <v>39</v>
      </c>
      <c r="N139" t="s">
        <v>40</v>
      </c>
      <c r="O139">
        <f t="shared" si="7"/>
        <v>1</v>
      </c>
      <c r="Q139" t="s">
        <v>102</v>
      </c>
      <c r="R139" t="s">
        <v>692</v>
      </c>
      <c r="S139" t="s">
        <v>68</v>
      </c>
      <c r="U139">
        <v>2</v>
      </c>
      <c r="V139">
        <v>5</v>
      </c>
      <c r="W139" t="s">
        <v>44</v>
      </c>
      <c r="X139" t="s">
        <v>553</v>
      </c>
      <c r="Y139">
        <v>0</v>
      </c>
      <c r="Z139" t="s">
        <v>553</v>
      </c>
      <c r="AB139" t="s">
        <v>693</v>
      </c>
      <c r="AC139" t="str">
        <f t="shared" si="8"/>
        <v>RURAL</v>
      </c>
      <c r="AD139" t="s">
        <v>58</v>
      </c>
      <c r="AE139">
        <v>179</v>
      </c>
      <c r="AG139">
        <v>14200</v>
      </c>
      <c r="AH139" t="s">
        <v>71</v>
      </c>
      <c r="AI139" t="s">
        <v>48</v>
      </c>
      <c r="AJ139">
        <v>2004</v>
      </c>
      <c r="AK139" t="s">
        <v>694</v>
      </c>
    </row>
    <row r="140" spans="2:37" x14ac:dyDescent="0.3">
      <c r="B140">
        <f t="shared" si="6"/>
        <v>1</v>
      </c>
      <c r="C140" t="s">
        <v>34</v>
      </c>
      <c r="D140" t="s">
        <v>234</v>
      </c>
      <c r="E140">
        <v>1844</v>
      </c>
      <c r="F140" t="s">
        <v>695</v>
      </c>
      <c r="G140" t="s">
        <v>37</v>
      </c>
      <c r="H140" t="s">
        <v>38</v>
      </c>
      <c r="I140">
        <v>2022</v>
      </c>
      <c r="J140">
        <v>2</v>
      </c>
      <c r="K140">
        <v>1350</v>
      </c>
      <c r="L140">
        <v>0</v>
      </c>
      <c r="M140" t="s">
        <v>39</v>
      </c>
      <c r="N140" t="s">
        <v>40</v>
      </c>
      <c r="O140">
        <f t="shared" si="7"/>
        <v>1</v>
      </c>
      <c r="P140" t="s">
        <v>696</v>
      </c>
      <c r="Q140" t="s">
        <v>697</v>
      </c>
      <c r="R140" t="s">
        <v>698</v>
      </c>
      <c r="S140" t="s">
        <v>43</v>
      </c>
      <c r="U140">
        <v>2</v>
      </c>
      <c r="V140">
        <v>4</v>
      </c>
      <c r="W140" t="s">
        <v>44</v>
      </c>
      <c r="X140" t="s">
        <v>69</v>
      </c>
      <c r="Y140">
        <v>0</v>
      </c>
      <c r="Z140" t="s">
        <v>69</v>
      </c>
      <c r="AC140" t="str">
        <f t="shared" si="8"/>
        <v>URBAN</v>
      </c>
      <c r="AD140" t="s">
        <v>147</v>
      </c>
      <c r="AE140">
        <v>930</v>
      </c>
      <c r="AG140">
        <v>0</v>
      </c>
      <c r="AH140" t="s">
        <v>47</v>
      </c>
      <c r="AI140" t="s">
        <v>48</v>
      </c>
      <c r="AJ140">
        <v>1993</v>
      </c>
      <c r="AK140" t="s">
        <v>699</v>
      </c>
    </row>
    <row r="141" spans="2:37" x14ac:dyDescent="0.3">
      <c r="B141">
        <f t="shared" si="6"/>
        <v>7</v>
      </c>
      <c r="C141" t="s">
        <v>115</v>
      </c>
      <c r="D141" t="s">
        <v>234</v>
      </c>
      <c r="E141">
        <v>5720</v>
      </c>
      <c r="F141" t="s">
        <v>700</v>
      </c>
      <c r="G141" t="s">
        <v>37</v>
      </c>
      <c r="H141" t="s">
        <v>38</v>
      </c>
      <c r="I141">
        <v>2022</v>
      </c>
      <c r="J141">
        <v>7</v>
      </c>
      <c r="K141">
        <v>1690</v>
      </c>
      <c r="L141">
        <v>0</v>
      </c>
      <c r="M141" t="s">
        <v>39</v>
      </c>
      <c r="N141" t="s">
        <v>40</v>
      </c>
      <c r="O141">
        <f t="shared" si="7"/>
        <v>1</v>
      </c>
      <c r="P141" t="s">
        <v>235</v>
      </c>
      <c r="Q141" t="s">
        <v>249</v>
      </c>
      <c r="R141" t="s">
        <v>414</v>
      </c>
      <c r="S141" t="s">
        <v>43</v>
      </c>
      <c r="U141">
        <v>2</v>
      </c>
      <c r="V141">
        <v>2</v>
      </c>
      <c r="W141" t="s">
        <v>44</v>
      </c>
      <c r="X141" t="s">
        <v>45</v>
      </c>
      <c r="Y141">
        <v>0</v>
      </c>
      <c r="Z141" t="s">
        <v>69</v>
      </c>
      <c r="AC141" t="str">
        <f t="shared" si="8"/>
        <v>RURAL</v>
      </c>
      <c r="AD141" t="s">
        <v>317</v>
      </c>
      <c r="AE141">
        <v>7178</v>
      </c>
      <c r="AG141">
        <v>0</v>
      </c>
      <c r="AH141" t="s">
        <v>47</v>
      </c>
      <c r="AI141" t="s">
        <v>48</v>
      </c>
      <c r="AJ141">
        <v>1988</v>
      </c>
      <c r="AK141" t="s">
        <v>701</v>
      </c>
    </row>
    <row r="142" spans="2:37" x14ac:dyDescent="0.3">
      <c r="B142">
        <f t="shared" si="6"/>
        <v>10</v>
      </c>
      <c r="C142" t="s">
        <v>184</v>
      </c>
      <c r="D142" t="s">
        <v>142</v>
      </c>
      <c r="E142">
        <v>4950</v>
      </c>
      <c r="F142" t="s">
        <v>702</v>
      </c>
      <c r="G142" t="s">
        <v>37</v>
      </c>
      <c r="H142" t="s">
        <v>38</v>
      </c>
      <c r="I142">
        <v>2022</v>
      </c>
      <c r="J142">
        <v>3</v>
      </c>
      <c r="K142">
        <v>1800</v>
      </c>
      <c r="L142">
        <v>0</v>
      </c>
      <c r="M142" t="s">
        <v>39</v>
      </c>
      <c r="N142" t="s">
        <v>40</v>
      </c>
      <c r="O142">
        <f t="shared" si="7"/>
        <v>1</v>
      </c>
      <c r="P142" t="s">
        <v>703</v>
      </c>
      <c r="Q142" t="s">
        <v>704</v>
      </c>
      <c r="R142">
        <v>928</v>
      </c>
      <c r="S142" t="s">
        <v>43</v>
      </c>
      <c r="U142">
        <v>2</v>
      </c>
      <c r="V142">
        <v>4</v>
      </c>
      <c r="W142" t="s">
        <v>44</v>
      </c>
      <c r="X142" t="s">
        <v>221</v>
      </c>
      <c r="Y142">
        <v>0</v>
      </c>
      <c r="Z142" t="s">
        <v>69</v>
      </c>
      <c r="AB142" t="s">
        <v>705</v>
      </c>
      <c r="AC142" t="str">
        <f t="shared" si="8"/>
        <v>URBAN</v>
      </c>
      <c r="AD142" t="s">
        <v>46</v>
      </c>
      <c r="AE142">
        <v>8011</v>
      </c>
      <c r="AG142">
        <v>0</v>
      </c>
      <c r="AH142" t="s">
        <v>47</v>
      </c>
      <c r="AI142" t="s">
        <v>48</v>
      </c>
      <c r="AJ142">
        <v>1988</v>
      </c>
      <c r="AK142" t="s">
        <v>706</v>
      </c>
    </row>
    <row r="143" spans="2:37" x14ac:dyDescent="0.3">
      <c r="B143">
        <f t="shared" si="6"/>
        <v>3</v>
      </c>
      <c r="C143" t="s">
        <v>60</v>
      </c>
      <c r="D143" t="s">
        <v>89</v>
      </c>
      <c r="E143">
        <v>250</v>
      </c>
      <c r="F143" t="s">
        <v>707</v>
      </c>
      <c r="G143" t="s">
        <v>90</v>
      </c>
      <c r="H143" t="s">
        <v>708</v>
      </c>
      <c r="I143">
        <v>2022</v>
      </c>
      <c r="J143">
        <v>8</v>
      </c>
      <c r="K143">
        <v>0</v>
      </c>
      <c r="L143">
        <v>0</v>
      </c>
      <c r="M143" t="s">
        <v>39</v>
      </c>
      <c r="N143" t="s">
        <v>40</v>
      </c>
      <c r="O143">
        <f t="shared" si="7"/>
        <v>1</v>
      </c>
      <c r="Q143" t="s">
        <v>518</v>
      </c>
      <c r="R143" t="s">
        <v>709</v>
      </c>
      <c r="S143" t="s">
        <v>43</v>
      </c>
      <c r="U143">
        <v>0</v>
      </c>
      <c r="V143">
        <v>0</v>
      </c>
      <c r="W143" t="s">
        <v>55</v>
      </c>
      <c r="X143" t="s">
        <v>56</v>
      </c>
      <c r="Y143">
        <v>0</v>
      </c>
      <c r="Z143" t="s">
        <v>95</v>
      </c>
      <c r="AB143" t="s">
        <v>710</v>
      </c>
      <c r="AC143" t="str">
        <f t="shared" si="8"/>
        <v>RURAL</v>
      </c>
      <c r="AD143" t="s">
        <v>281</v>
      </c>
      <c r="AE143">
        <v>7400</v>
      </c>
      <c r="AG143">
        <v>0</v>
      </c>
      <c r="AH143" t="s">
        <v>89</v>
      </c>
      <c r="AI143" t="s">
        <v>48</v>
      </c>
      <c r="AJ143">
        <v>1979</v>
      </c>
      <c r="AK143" t="s">
        <v>711</v>
      </c>
    </row>
    <row r="144" spans="2:37" x14ac:dyDescent="0.3">
      <c r="B144">
        <f t="shared" si="6"/>
        <v>1</v>
      </c>
      <c r="C144" t="s">
        <v>34</v>
      </c>
      <c r="D144" t="s">
        <v>242</v>
      </c>
      <c r="E144">
        <v>5720</v>
      </c>
      <c r="F144" t="s">
        <v>712</v>
      </c>
      <c r="G144" t="s">
        <v>117</v>
      </c>
      <c r="H144" t="s">
        <v>38</v>
      </c>
      <c r="I144">
        <v>2022</v>
      </c>
      <c r="J144">
        <v>6</v>
      </c>
      <c r="K144">
        <v>2830</v>
      </c>
      <c r="L144">
        <v>0</v>
      </c>
      <c r="M144" t="s">
        <v>39</v>
      </c>
      <c r="N144" t="s">
        <v>40</v>
      </c>
      <c r="O144">
        <f t="shared" si="7"/>
        <v>1</v>
      </c>
      <c r="P144" t="s">
        <v>298</v>
      </c>
      <c r="Q144" t="s">
        <v>249</v>
      </c>
      <c r="R144" t="s">
        <v>713</v>
      </c>
      <c r="S144" t="s">
        <v>43</v>
      </c>
      <c r="U144">
        <v>2</v>
      </c>
      <c r="V144">
        <v>6</v>
      </c>
      <c r="W144" t="s">
        <v>44</v>
      </c>
      <c r="X144" t="s">
        <v>45</v>
      </c>
      <c r="Y144">
        <v>0</v>
      </c>
      <c r="Z144" t="s">
        <v>69</v>
      </c>
      <c r="AC144" t="str">
        <f t="shared" si="8"/>
        <v>RURAL</v>
      </c>
      <c r="AD144" t="s">
        <v>268</v>
      </c>
      <c r="AE144">
        <v>4814</v>
      </c>
      <c r="AG144">
        <v>0</v>
      </c>
      <c r="AH144" t="s">
        <v>71</v>
      </c>
      <c r="AI144" t="s">
        <v>48</v>
      </c>
      <c r="AJ144">
        <v>1991</v>
      </c>
      <c r="AK144" t="s">
        <v>714</v>
      </c>
    </row>
    <row r="145" spans="2:37" x14ac:dyDescent="0.3">
      <c r="B145">
        <f t="shared" si="6"/>
        <v>10</v>
      </c>
      <c r="C145" t="s">
        <v>184</v>
      </c>
      <c r="D145" t="s">
        <v>234</v>
      </c>
      <c r="E145">
        <v>5700</v>
      </c>
      <c r="G145" t="s">
        <v>37</v>
      </c>
      <c r="H145" t="s">
        <v>38</v>
      </c>
      <c r="I145">
        <v>2022</v>
      </c>
      <c r="J145">
        <v>8</v>
      </c>
      <c r="K145">
        <v>1899</v>
      </c>
      <c r="L145">
        <v>0</v>
      </c>
      <c r="M145" t="s">
        <v>39</v>
      </c>
      <c r="N145" t="s">
        <v>40</v>
      </c>
      <c r="O145">
        <f t="shared" si="7"/>
        <v>1</v>
      </c>
      <c r="P145" t="s">
        <v>235</v>
      </c>
      <c r="Q145" t="s">
        <v>249</v>
      </c>
      <c r="R145" t="s">
        <v>321</v>
      </c>
      <c r="S145" t="s">
        <v>43</v>
      </c>
      <c r="U145">
        <v>2</v>
      </c>
      <c r="V145">
        <v>4</v>
      </c>
      <c r="W145" t="s">
        <v>44</v>
      </c>
      <c r="X145" t="s">
        <v>45</v>
      </c>
      <c r="Y145">
        <v>0</v>
      </c>
      <c r="Z145" t="s">
        <v>45</v>
      </c>
      <c r="AB145" t="s">
        <v>715</v>
      </c>
      <c r="AC145" t="str">
        <f t="shared" si="8"/>
        <v>RURAL</v>
      </c>
      <c r="AD145" t="s">
        <v>716</v>
      </c>
      <c r="AE145">
        <v>7999</v>
      </c>
      <c r="AG145">
        <v>0</v>
      </c>
      <c r="AH145" t="s">
        <v>47</v>
      </c>
      <c r="AI145" t="s">
        <v>48</v>
      </c>
      <c r="AJ145">
        <v>1989</v>
      </c>
      <c r="AK145" t="s">
        <v>717</v>
      </c>
    </row>
    <row r="146" spans="2:37" x14ac:dyDescent="0.3">
      <c r="B146">
        <f t="shared" si="6"/>
        <v>1</v>
      </c>
      <c r="C146" t="s">
        <v>34</v>
      </c>
      <c r="D146" t="s">
        <v>234</v>
      </c>
      <c r="E146">
        <v>2980</v>
      </c>
      <c r="F146" t="s">
        <v>718</v>
      </c>
      <c r="G146" t="s">
        <v>52</v>
      </c>
      <c r="H146" t="s">
        <v>719</v>
      </c>
      <c r="I146">
        <v>2022</v>
      </c>
      <c r="J146">
        <v>2</v>
      </c>
      <c r="K146">
        <v>2075</v>
      </c>
      <c r="L146">
        <v>0</v>
      </c>
      <c r="M146" t="s">
        <v>39</v>
      </c>
      <c r="N146" t="s">
        <v>40</v>
      </c>
      <c r="O146">
        <f t="shared" si="7"/>
        <v>1</v>
      </c>
      <c r="P146" t="s">
        <v>720</v>
      </c>
      <c r="Q146" t="s">
        <v>83</v>
      </c>
      <c r="R146" t="s">
        <v>721</v>
      </c>
      <c r="S146" t="s">
        <v>68</v>
      </c>
      <c r="U146">
        <v>2</v>
      </c>
      <c r="V146">
        <v>5</v>
      </c>
      <c r="W146" t="s">
        <v>44</v>
      </c>
      <c r="X146" t="s">
        <v>69</v>
      </c>
      <c r="Y146">
        <v>0</v>
      </c>
      <c r="Z146" t="s">
        <v>69</v>
      </c>
      <c r="AB146" t="s">
        <v>722</v>
      </c>
      <c r="AC146" t="str">
        <f t="shared" si="8"/>
        <v>URBAN</v>
      </c>
      <c r="AD146" t="s">
        <v>723</v>
      </c>
      <c r="AE146">
        <v>6023</v>
      </c>
      <c r="AG146">
        <v>0</v>
      </c>
      <c r="AH146" t="s">
        <v>47</v>
      </c>
      <c r="AI146" t="s">
        <v>48</v>
      </c>
      <c r="AJ146">
        <v>1996</v>
      </c>
      <c r="AK146" t="s">
        <v>724</v>
      </c>
    </row>
    <row r="147" spans="2:37" x14ac:dyDescent="0.3">
      <c r="B147">
        <f t="shared" si="6"/>
        <v>9</v>
      </c>
      <c r="C147" t="s">
        <v>141</v>
      </c>
      <c r="D147" t="s">
        <v>99</v>
      </c>
      <c r="E147">
        <v>6489</v>
      </c>
      <c r="F147" t="s">
        <v>725</v>
      </c>
      <c r="G147" t="s">
        <v>37</v>
      </c>
      <c r="H147" t="s">
        <v>38</v>
      </c>
      <c r="I147">
        <v>2022</v>
      </c>
      <c r="J147">
        <v>10</v>
      </c>
      <c r="K147">
        <v>1960</v>
      </c>
      <c r="L147">
        <v>0</v>
      </c>
      <c r="M147" t="s">
        <v>39</v>
      </c>
      <c r="N147" t="s">
        <v>40</v>
      </c>
      <c r="O147">
        <f t="shared" si="7"/>
        <v>1</v>
      </c>
      <c r="P147" t="s">
        <v>235</v>
      </c>
      <c r="Q147" t="s">
        <v>249</v>
      </c>
      <c r="R147" t="s">
        <v>454</v>
      </c>
      <c r="S147" t="s">
        <v>43</v>
      </c>
      <c r="U147">
        <v>2</v>
      </c>
      <c r="V147">
        <v>6</v>
      </c>
      <c r="W147" t="s">
        <v>44</v>
      </c>
      <c r="X147" t="s">
        <v>45</v>
      </c>
      <c r="Y147">
        <v>0</v>
      </c>
      <c r="Z147" t="s">
        <v>69</v>
      </c>
      <c r="AC147" t="str">
        <f t="shared" si="8"/>
        <v>URBAN</v>
      </c>
      <c r="AD147" t="s">
        <v>147</v>
      </c>
      <c r="AE147">
        <v>800</v>
      </c>
      <c r="AG147">
        <v>0</v>
      </c>
      <c r="AH147" t="s">
        <v>47</v>
      </c>
      <c r="AI147" t="s">
        <v>48</v>
      </c>
      <c r="AJ147">
        <v>1955</v>
      </c>
      <c r="AK147" t="s">
        <v>455</v>
      </c>
    </row>
    <row r="148" spans="2:37" x14ac:dyDescent="0.3">
      <c r="B148">
        <f t="shared" si="6"/>
        <v>8</v>
      </c>
      <c r="C148" t="s">
        <v>122</v>
      </c>
      <c r="D148" t="s">
        <v>99</v>
      </c>
      <c r="E148">
        <v>2600</v>
      </c>
      <c r="F148" t="s">
        <v>726</v>
      </c>
      <c r="G148" t="s">
        <v>37</v>
      </c>
      <c r="H148" t="s">
        <v>38</v>
      </c>
      <c r="I148">
        <v>2022</v>
      </c>
      <c r="J148">
        <v>3</v>
      </c>
      <c r="K148">
        <v>1650</v>
      </c>
      <c r="L148">
        <v>0</v>
      </c>
      <c r="M148" t="s">
        <v>39</v>
      </c>
      <c r="N148" t="s">
        <v>40</v>
      </c>
      <c r="O148">
        <f t="shared" si="7"/>
        <v>1</v>
      </c>
      <c r="P148" t="s">
        <v>601</v>
      </c>
      <c r="Q148" t="s">
        <v>557</v>
      </c>
      <c r="R148" t="s">
        <v>602</v>
      </c>
      <c r="S148" t="s">
        <v>43</v>
      </c>
      <c r="U148">
        <v>2</v>
      </c>
      <c r="V148">
        <v>4</v>
      </c>
      <c r="W148" t="s">
        <v>44</v>
      </c>
      <c r="X148" t="s">
        <v>69</v>
      </c>
      <c r="Y148">
        <v>0</v>
      </c>
      <c r="Z148" t="s">
        <v>69</v>
      </c>
      <c r="AB148" t="s">
        <v>603</v>
      </c>
      <c r="AC148" t="str">
        <f t="shared" si="8"/>
        <v>RURAL</v>
      </c>
      <c r="AD148" t="s">
        <v>202</v>
      </c>
      <c r="AE148">
        <v>3473</v>
      </c>
      <c r="AG148">
        <v>0</v>
      </c>
      <c r="AH148" t="s">
        <v>47</v>
      </c>
      <c r="AI148" t="s">
        <v>48</v>
      </c>
      <c r="AJ148">
        <v>1989</v>
      </c>
      <c r="AK148" t="s">
        <v>727</v>
      </c>
    </row>
    <row r="149" spans="2:37" x14ac:dyDescent="0.3">
      <c r="B149">
        <f t="shared" si="6"/>
        <v>6</v>
      </c>
      <c r="C149" t="s">
        <v>109</v>
      </c>
      <c r="D149" t="s">
        <v>142</v>
      </c>
      <c r="E149">
        <v>4637</v>
      </c>
      <c r="F149" t="s">
        <v>728</v>
      </c>
      <c r="G149" t="s">
        <v>37</v>
      </c>
      <c r="H149" t="s">
        <v>38</v>
      </c>
      <c r="I149">
        <v>2022</v>
      </c>
      <c r="J149">
        <v>9</v>
      </c>
      <c r="K149">
        <v>2109</v>
      </c>
      <c r="L149">
        <v>0</v>
      </c>
      <c r="M149" t="s">
        <v>39</v>
      </c>
      <c r="N149" t="s">
        <v>40</v>
      </c>
      <c r="O149">
        <f t="shared" si="7"/>
        <v>1</v>
      </c>
      <c r="Q149" t="s">
        <v>249</v>
      </c>
      <c r="R149" t="s">
        <v>454</v>
      </c>
      <c r="S149" t="s">
        <v>43</v>
      </c>
      <c r="U149">
        <v>2</v>
      </c>
      <c r="V149">
        <v>4</v>
      </c>
      <c r="W149" t="s">
        <v>44</v>
      </c>
      <c r="X149" t="s">
        <v>45</v>
      </c>
      <c r="Y149">
        <v>0</v>
      </c>
      <c r="Z149" t="s">
        <v>45</v>
      </c>
      <c r="AC149" t="str">
        <f t="shared" si="8"/>
        <v>URBAN</v>
      </c>
      <c r="AD149" t="s">
        <v>46</v>
      </c>
      <c r="AE149">
        <v>8023</v>
      </c>
      <c r="AG149">
        <v>0</v>
      </c>
      <c r="AH149" t="s">
        <v>47</v>
      </c>
      <c r="AI149" t="s">
        <v>48</v>
      </c>
      <c r="AJ149">
        <v>1957</v>
      </c>
      <c r="AK149" t="s">
        <v>729</v>
      </c>
    </row>
    <row r="150" spans="2:37" x14ac:dyDescent="0.3">
      <c r="B150">
        <f t="shared" si="6"/>
        <v>10</v>
      </c>
      <c r="C150" t="s">
        <v>184</v>
      </c>
      <c r="D150" t="s">
        <v>61</v>
      </c>
      <c r="E150">
        <v>7120</v>
      </c>
      <c r="F150" t="s">
        <v>730</v>
      </c>
      <c r="G150" t="s">
        <v>63</v>
      </c>
      <c r="H150" t="s">
        <v>731</v>
      </c>
      <c r="I150">
        <v>2022</v>
      </c>
      <c r="J150">
        <v>5</v>
      </c>
      <c r="K150">
        <v>9250</v>
      </c>
      <c r="L150">
        <v>3470</v>
      </c>
      <c r="M150" t="s">
        <v>39</v>
      </c>
      <c r="N150" t="s">
        <v>40</v>
      </c>
      <c r="O150">
        <f t="shared" si="7"/>
        <v>1</v>
      </c>
      <c r="P150" t="s">
        <v>732</v>
      </c>
      <c r="Q150" t="s">
        <v>66</v>
      </c>
      <c r="R150" t="s">
        <v>286</v>
      </c>
      <c r="S150" t="s">
        <v>68</v>
      </c>
      <c r="U150">
        <v>2</v>
      </c>
      <c r="V150">
        <v>2</v>
      </c>
      <c r="W150" t="s">
        <v>44</v>
      </c>
      <c r="X150" t="s">
        <v>69</v>
      </c>
      <c r="Y150">
        <v>0</v>
      </c>
      <c r="Z150" t="s">
        <v>69</v>
      </c>
      <c r="AB150" t="s">
        <v>733</v>
      </c>
      <c r="AC150" t="str">
        <f t="shared" si="8"/>
        <v>RURAL</v>
      </c>
      <c r="AD150" t="s">
        <v>202</v>
      </c>
      <c r="AE150">
        <v>3473</v>
      </c>
      <c r="AG150">
        <v>14200</v>
      </c>
      <c r="AH150" t="s">
        <v>71</v>
      </c>
      <c r="AI150" t="s">
        <v>161</v>
      </c>
      <c r="AJ150">
        <v>1995</v>
      </c>
      <c r="AK150" t="s">
        <v>734</v>
      </c>
    </row>
    <row r="151" spans="2:37" x14ac:dyDescent="0.3">
      <c r="B151">
        <f t="shared" si="6"/>
        <v>7</v>
      </c>
      <c r="C151" t="s">
        <v>115</v>
      </c>
      <c r="D151" t="s">
        <v>89</v>
      </c>
      <c r="E151">
        <v>980</v>
      </c>
      <c r="F151" t="s">
        <v>735</v>
      </c>
      <c r="G151" t="s">
        <v>90</v>
      </c>
      <c r="H151" t="s">
        <v>736</v>
      </c>
      <c r="I151">
        <v>2021</v>
      </c>
      <c r="J151">
        <v>1</v>
      </c>
      <c r="K151">
        <v>0</v>
      </c>
      <c r="L151">
        <v>0</v>
      </c>
      <c r="M151" t="s">
        <v>39</v>
      </c>
      <c r="N151" t="s">
        <v>40</v>
      </c>
      <c r="O151">
        <f t="shared" si="7"/>
        <v>1</v>
      </c>
      <c r="Q151" t="s">
        <v>328</v>
      </c>
      <c r="R151" t="s">
        <v>737</v>
      </c>
      <c r="S151" t="s">
        <v>43</v>
      </c>
      <c r="U151">
        <v>0</v>
      </c>
      <c r="V151">
        <v>0</v>
      </c>
      <c r="W151" t="s">
        <v>55</v>
      </c>
      <c r="X151" t="s">
        <v>221</v>
      </c>
      <c r="Y151">
        <v>0</v>
      </c>
      <c r="Z151" t="s">
        <v>104</v>
      </c>
      <c r="AC151" t="str">
        <f t="shared" si="8"/>
        <v>RURAL</v>
      </c>
      <c r="AD151" t="s">
        <v>268</v>
      </c>
      <c r="AE151">
        <v>5571</v>
      </c>
      <c r="AG151">
        <v>0</v>
      </c>
      <c r="AH151" t="s">
        <v>89</v>
      </c>
      <c r="AI151" t="s">
        <v>48</v>
      </c>
      <c r="AJ151">
        <v>1983</v>
      </c>
      <c r="AK151" t="s">
        <v>738</v>
      </c>
    </row>
    <row r="152" spans="2:37" x14ac:dyDescent="0.3">
      <c r="B152">
        <f t="shared" si="6"/>
        <v>6</v>
      </c>
      <c r="C152" t="s">
        <v>109</v>
      </c>
      <c r="D152" t="s">
        <v>142</v>
      </c>
      <c r="E152">
        <v>1798</v>
      </c>
      <c r="F152">
        <v>264023</v>
      </c>
      <c r="G152" t="s">
        <v>37</v>
      </c>
      <c r="H152" t="s">
        <v>739</v>
      </c>
      <c r="I152">
        <v>2021</v>
      </c>
      <c r="J152">
        <v>10</v>
      </c>
      <c r="K152">
        <v>0</v>
      </c>
      <c r="L152">
        <v>0</v>
      </c>
      <c r="M152" t="s">
        <v>39</v>
      </c>
      <c r="N152" t="s">
        <v>40</v>
      </c>
      <c r="O152">
        <f t="shared" si="7"/>
        <v>1</v>
      </c>
      <c r="Q152" t="s">
        <v>674</v>
      </c>
      <c r="R152" t="s">
        <v>740</v>
      </c>
      <c r="S152" t="s">
        <v>43</v>
      </c>
      <c r="U152">
        <v>2</v>
      </c>
      <c r="V152">
        <v>4</v>
      </c>
      <c r="W152" t="s">
        <v>55</v>
      </c>
      <c r="X152" t="s">
        <v>95</v>
      </c>
      <c r="Y152">
        <v>0</v>
      </c>
      <c r="Z152" t="s">
        <v>95</v>
      </c>
      <c r="AC152" t="str">
        <f t="shared" si="8"/>
        <v>RURAL</v>
      </c>
      <c r="AD152" t="s">
        <v>741</v>
      </c>
      <c r="AE152">
        <v>3581</v>
      </c>
      <c r="AG152">
        <v>0</v>
      </c>
      <c r="AH152" t="s">
        <v>47</v>
      </c>
      <c r="AI152" t="s">
        <v>48</v>
      </c>
      <c r="AJ152">
        <v>1972</v>
      </c>
      <c r="AK152" t="s">
        <v>742</v>
      </c>
    </row>
    <row r="153" spans="2:37" x14ac:dyDescent="0.3">
      <c r="B153">
        <f t="shared" si="6"/>
        <v>7</v>
      </c>
      <c r="C153" t="s">
        <v>115</v>
      </c>
      <c r="D153" t="s">
        <v>149</v>
      </c>
      <c r="E153">
        <v>0</v>
      </c>
      <c r="G153" t="s">
        <v>150</v>
      </c>
      <c r="I153">
        <v>2021</v>
      </c>
      <c r="J153">
        <v>9</v>
      </c>
      <c r="K153">
        <v>25400</v>
      </c>
      <c r="L153">
        <v>2700</v>
      </c>
      <c r="M153" t="s">
        <v>39</v>
      </c>
      <c r="N153" t="s">
        <v>218</v>
      </c>
      <c r="O153">
        <f t="shared" si="7"/>
        <v>3</v>
      </c>
      <c r="Q153" t="s">
        <v>743</v>
      </c>
      <c r="R153" t="s">
        <v>744</v>
      </c>
      <c r="U153">
        <v>2</v>
      </c>
      <c r="V153">
        <v>0</v>
      </c>
      <c r="W153" t="s">
        <v>55</v>
      </c>
      <c r="X153" t="s">
        <v>156</v>
      </c>
      <c r="Y153">
        <v>0</v>
      </c>
      <c r="Z153" t="s">
        <v>156</v>
      </c>
      <c r="AC153" t="str">
        <f t="shared" si="8"/>
        <v>RURAL</v>
      </c>
      <c r="AD153" t="s">
        <v>209</v>
      </c>
      <c r="AE153">
        <v>2</v>
      </c>
      <c r="AG153">
        <v>16400</v>
      </c>
      <c r="AH153" t="s">
        <v>160</v>
      </c>
      <c r="AI153" t="s">
        <v>86</v>
      </c>
      <c r="AJ153">
        <v>1991</v>
      </c>
      <c r="AK153" t="s">
        <v>745</v>
      </c>
    </row>
    <row r="154" spans="2:37" x14ac:dyDescent="0.3">
      <c r="B154">
        <f t="shared" si="6"/>
        <v>7</v>
      </c>
      <c r="C154" t="s">
        <v>115</v>
      </c>
      <c r="D154" t="s">
        <v>242</v>
      </c>
      <c r="E154">
        <v>5700</v>
      </c>
      <c r="G154" t="s">
        <v>117</v>
      </c>
      <c r="I154">
        <v>2021</v>
      </c>
      <c r="J154">
        <v>4</v>
      </c>
      <c r="K154">
        <v>2200</v>
      </c>
      <c r="L154">
        <v>0</v>
      </c>
      <c r="M154" t="s">
        <v>334</v>
      </c>
      <c r="N154" t="s">
        <v>40</v>
      </c>
      <c r="O154">
        <f t="shared" si="7"/>
        <v>1</v>
      </c>
      <c r="Q154" t="s">
        <v>335</v>
      </c>
      <c r="R154" t="s">
        <v>746</v>
      </c>
      <c r="S154" t="s">
        <v>43</v>
      </c>
      <c r="U154">
        <v>2</v>
      </c>
      <c r="V154">
        <v>2</v>
      </c>
      <c r="W154" t="s">
        <v>155</v>
      </c>
      <c r="X154" t="s">
        <v>156</v>
      </c>
      <c r="Y154">
        <v>0</v>
      </c>
      <c r="AB154" t="s">
        <v>747</v>
      </c>
      <c r="AC154" t="str">
        <f t="shared" si="8"/>
        <v>RURAL</v>
      </c>
      <c r="AD154" t="s">
        <v>133</v>
      </c>
      <c r="AE154">
        <v>9012</v>
      </c>
      <c r="AG154">
        <v>0</v>
      </c>
      <c r="AH154" t="s">
        <v>71</v>
      </c>
      <c r="AI154" t="s">
        <v>48</v>
      </c>
      <c r="AJ154">
        <v>2021</v>
      </c>
      <c r="AK154" t="s">
        <v>748</v>
      </c>
    </row>
    <row r="155" spans="2:37" x14ac:dyDescent="0.3">
      <c r="B155">
        <f t="shared" si="6"/>
        <v>3</v>
      </c>
      <c r="C155" t="s">
        <v>60</v>
      </c>
      <c r="D155" t="s">
        <v>176</v>
      </c>
      <c r="E155">
        <v>3298</v>
      </c>
      <c r="G155" t="s">
        <v>63</v>
      </c>
      <c r="H155" t="s">
        <v>749</v>
      </c>
      <c r="I155">
        <v>2021</v>
      </c>
      <c r="J155">
        <v>7</v>
      </c>
      <c r="K155">
        <v>5500</v>
      </c>
      <c r="L155">
        <v>3000</v>
      </c>
      <c r="M155" t="s">
        <v>39</v>
      </c>
      <c r="N155" t="s">
        <v>40</v>
      </c>
      <c r="O155">
        <f t="shared" si="7"/>
        <v>1</v>
      </c>
      <c r="Q155" t="s">
        <v>130</v>
      </c>
      <c r="R155" t="s">
        <v>131</v>
      </c>
      <c r="S155" t="s">
        <v>68</v>
      </c>
      <c r="T155" t="s">
        <v>750</v>
      </c>
      <c r="U155">
        <v>2</v>
      </c>
      <c r="V155">
        <v>3</v>
      </c>
      <c r="W155" t="s">
        <v>55</v>
      </c>
      <c r="X155" t="s">
        <v>69</v>
      </c>
      <c r="Y155">
        <v>68</v>
      </c>
      <c r="Z155" t="s">
        <v>156</v>
      </c>
      <c r="AB155" t="s">
        <v>750</v>
      </c>
      <c r="AC155" t="str">
        <f t="shared" si="8"/>
        <v>RURAL</v>
      </c>
      <c r="AD155" t="s">
        <v>209</v>
      </c>
      <c r="AE155">
        <v>4071</v>
      </c>
      <c r="AG155">
        <v>14200</v>
      </c>
      <c r="AH155" t="s">
        <v>182</v>
      </c>
      <c r="AI155" t="s">
        <v>48</v>
      </c>
      <c r="AJ155">
        <v>1994</v>
      </c>
      <c r="AK155" t="s">
        <v>751</v>
      </c>
    </row>
    <row r="156" spans="2:37" x14ac:dyDescent="0.3">
      <c r="B156">
        <f t="shared" si="6"/>
        <v>3</v>
      </c>
      <c r="C156" t="s">
        <v>60</v>
      </c>
      <c r="D156" t="s">
        <v>142</v>
      </c>
      <c r="E156">
        <v>1993</v>
      </c>
      <c r="G156" t="s">
        <v>37</v>
      </c>
      <c r="H156" t="s">
        <v>752</v>
      </c>
      <c r="I156">
        <v>2021</v>
      </c>
      <c r="J156">
        <v>12</v>
      </c>
      <c r="K156">
        <v>0</v>
      </c>
      <c r="L156">
        <v>0</v>
      </c>
      <c r="M156" t="s">
        <v>39</v>
      </c>
      <c r="N156" t="s">
        <v>40</v>
      </c>
      <c r="O156">
        <f t="shared" si="7"/>
        <v>1</v>
      </c>
      <c r="Q156" t="s">
        <v>102</v>
      </c>
      <c r="R156" t="s">
        <v>753</v>
      </c>
      <c r="S156" t="s">
        <v>43</v>
      </c>
      <c r="U156">
        <v>0</v>
      </c>
      <c r="V156">
        <v>5</v>
      </c>
      <c r="W156" t="s">
        <v>44</v>
      </c>
      <c r="X156" t="s">
        <v>95</v>
      </c>
      <c r="Y156">
        <v>0</v>
      </c>
      <c r="Z156" t="s">
        <v>95</v>
      </c>
      <c r="AB156" t="s">
        <v>754</v>
      </c>
      <c r="AC156" t="str">
        <f t="shared" si="8"/>
        <v>RURAL</v>
      </c>
      <c r="AD156" t="s">
        <v>133</v>
      </c>
      <c r="AE156">
        <v>9092</v>
      </c>
      <c r="AG156">
        <v>0</v>
      </c>
      <c r="AH156" t="s">
        <v>47</v>
      </c>
      <c r="AI156" t="s">
        <v>48</v>
      </c>
      <c r="AJ156">
        <v>1986</v>
      </c>
      <c r="AK156" t="s">
        <v>755</v>
      </c>
    </row>
    <row r="157" spans="2:37" x14ac:dyDescent="0.3">
      <c r="B157">
        <f t="shared" si="6"/>
        <v>3</v>
      </c>
      <c r="C157" t="s">
        <v>60</v>
      </c>
      <c r="D157" t="s">
        <v>756</v>
      </c>
      <c r="E157">
        <v>12000</v>
      </c>
      <c r="G157" t="s">
        <v>169</v>
      </c>
      <c r="H157" t="s">
        <v>757</v>
      </c>
      <c r="I157">
        <v>2021</v>
      </c>
      <c r="J157">
        <v>7</v>
      </c>
      <c r="K157">
        <v>24380</v>
      </c>
      <c r="L157">
        <v>3770</v>
      </c>
      <c r="M157" t="s">
        <v>39</v>
      </c>
      <c r="N157" t="s">
        <v>151</v>
      </c>
      <c r="O157">
        <f t="shared" si="7"/>
        <v>4</v>
      </c>
      <c r="Q157" t="s">
        <v>758</v>
      </c>
      <c r="R157" t="s">
        <v>759</v>
      </c>
      <c r="S157" t="s">
        <v>68</v>
      </c>
      <c r="U157">
        <v>3</v>
      </c>
      <c r="V157">
        <v>2</v>
      </c>
      <c r="W157" t="s">
        <v>44</v>
      </c>
      <c r="X157" t="s">
        <v>104</v>
      </c>
      <c r="Y157">
        <v>0</v>
      </c>
      <c r="Z157" t="s">
        <v>156</v>
      </c>
      <c r="AA157" t="s">
        <v>222</v>
      </c>
      <c r="AC157" t="str">
        <f t="shared" si="8"/>
        <v>RURAL</v>
      </c>
      <c r="AD157" t="s">
        <v>77</v>
      </c>
      <c r="AE157">
        <v>3192</v>
      </c>
      <c r="AG157">
        <v>21000</v>
      </c>
      <c r="AH157" t="s">
        <v>71</v>
      </c>
      <c r="AI157" t="s">
        <v>86</v>
      </c>
      <c r="AJ157">
        <v>2002</v>
      </c>
      <c r="AK157" t="s">
        <v>760</v>
      </c>
    </row>
    <row r="158" spans="2:37" x14ac:dyDescent="0.3">
      <c r="B158">
        <f t="shared" si="6"/>
        <v>10</v>
      </c>
      <c r="C158" t="s">
        <v>184</v>
      </c>
      <c r="D158" t="s">
        <v>51</v>
      </c>
      <c r="E158">
        <v>3050</v>
      </c>
      <c r="F158" t="s">
        <v>761</v>
      </c>
      <c r="G158" t="s">
        <v>52</v>
      </c>
      <c r="H158" t="s">
        <v>762</v>
      </c>
      <c r="I158">
        <v>2021</v>
      </c>
      <c r="J158">
        <v>9</v>
      </c>
      <c r="K158">
        <v>2175</v>
      </c>
      <c r="L158">
        <v>0</v>
      </c>
      <c r="M158" t="s">
        <v>39</v>
      </c>
      <c r="N158" t="s">
        <v>40</v>
      </c>
      <c r="O158">
        <f t="shared" si="7"/>
        <v>1</v>
      </c>
      <c r="P158" t="s">
        <v>763</v>
      </c>
      <c r="Q158" t="s">
        <v>66</v>
      </c>
      <c r="R158" t="s">
        <v>764</v>
      </c>
      <c r="S158" t="s">
        <v>68</v>
      </c>
      <c r="U158">
        <v>0</v>
      </c>
      <c r="V158">
        <v>5</v>
      </c>
      <c r="W158" t="s">
        <v>44</v>
      </c>
      <c r="X158" t="s">
        <v>69</v>
      </c>
      <c r="Y158">
        <v>0</v>
      </c>
      <c r="Z158" t="s">
        <v>69</v>
      </c>
      <c r="AC158" t="str">
        <f t="shared" si="8"/>
        <v>RURAL</v>
      </c>
      <c r="AD158" t="s">
        <v>113</v>
      </c>
      <c r="AE158">
        <v>5381</v>
      </c>
      <c r="AG158">
        <v>0</v>
      </c>
      <c r="AH158" t="s">
        <v>47</v>
      </c>
      <c r="AI158" t="s">
        <v>48</v>
      </c>
      <c r="AJ158">
        <v>1995</v>
      </c>
      <c r="AK158" t="s">
        <v>765</v>
      </c>
    </row>
    <row r="159" spans="2:37" x14ac:dyDescent="0.3">
      <c r="B159">
        <f t="shared" si="6"/>
        <v>2</v>
      </c>
      <c r="C159" t="s">
        <v>50</v>
      </c>
      <c r="D159" t="s">
        <v>176</v>
      </c>
      <c r="E159">
        <v>6910</v>
      </c>
      <c r="G159" t="s">
        <v>63</v>
      </c>
      <c r="H159" t="s">
        <v>766</v>
      </c>
      <c r="I159">
        <v>2021</v>
      </c>
      <c r="J159">
        <v>4</v>
      </c>
      <c r="K159">
        <v>10500</v>
      </c>
      <c r="L159">
        <v>3000</v>
      </c>
      <c r="M159" t="s">
        <v>39</v>
      </c>
      <c r="N159" t="s">
        <v>40</v>
      </c>
      <c r="O159">
        <f t="shared" si="7"/>
        <v>1</v>
      </c>
      <c r="P159" t="s">
        <v>767</v>
      </c>
      <c r="Q159" t="s">
        <v>130</v>
      </c>
      <c r="R159" t="s">
        <v>440</v>
      </c>
      <c r="S159" t="s">
        <v>68</v>
      </c>
      <c r="U159">
        <v>2</v>
      </c>
      <c r="V159">
        <v>2</v>
      </c>
      <c r="W159" t="s">
        <v>44</v>
      </c>
      <c r="X159" t="s">
        <v>69</v>
      </c>
      <c r="Y159">
        <v>0</v>
      </c>
      <c r="Z159" t="s">
        <v>69</v>
      </c>
      <c r="AB159" t="s">
        <v>768</v>
      </c>
      <c r="AC159" t="str">
        <f t="shared" si="8"/>
        <v>RURAL</v>
      </c>
      <c r="AD159" t="s">
        <v>350</v>
      </c>
      <c r="AE159">
        <v>4120</v>
      </c>
      <c r="AG159">
        <v>14200</v>
      </c>
      <c r="AH159" t="s">
        <v>182</v>
      </c>
      <c r="AI159" t="s">
        <v>48</v>
      </c>
      <c r="AJ159">
        <v>1985</v>
      </c>
      <c r="AK159" t="s">
        <v>769</v>
      </c>
    </row>
    <row r="160" spans="2:37" x14ac:dyDescent="0.3">
      <c r="B160">
        <f t="shared" si="6"/>
        <v>11</v>
      </c>
      <c r="C160" t="s">
        <v>241</v>
      </c>
      <c r="D160" t="s">
        <v>61</v>
      </c>
      <c r="E160">
        <v>8200</v>
      </c>
      <c r="G160" t="s">
        <v>169</v>
      </c>
      <c r="H160" t="s">
        <v>770</v>
      </c>
      <c r="I160">
        <v>2021</v>
      </c>
      <c r="J160">
        <v>11</v>
      </c>
      <c r="K160">
        <v>16300</v>
      </c>
      <c r="L160">
        <v>3000</v>
      </c>
      <c r="M160" t="s">
        <v>39</v>
      </c>
      <c r="N160" t="s">
        <v>40</v>
      </c>
      <c r="O160">
        <f t="shared" si="7"/>
        <v>1</v>
      </c>
      <c r="Q160" t="s">
        <v>771</v>
      </c>
      <c r="R160" t="s">
        <v>772</v>
      </c>
      <c r="S160" t="s">
        <v>68</v>
      </c>
      <c r="U160">
        <v>2</v>
      </c>
      <c r="V160">
        <v>2</v>
      </c>
      <c r="W160" t="s">
        <v>44</v>
      </c>
      <c r="X160" t="s">
        <v>95</v>
      </c>
      <c r="Y160">
        <v>0</v>
      </c>
      <c r="Z160" t="s">
        <v>104</v>
      </c>
      <c r="AC160" t="str">
        <f t="shared" si="8"/>
        <v>RURAL</v>
      </c>
      <c r="AD160" t="s">
        <v>268</v>
      </c>
      <c r="AE160">
        <v>5571</v>
      </c>
      <c r="AG160">
        <v>14400</v>
      </c>
      <c r="AH160" t="s">
        <v>71</v>
      </c>
      <c r="AI160" t="s">
        <v>174</v>
      </c>
      <c r="AJ160">
        <v>1990</v>
      </c>
      <c r="AK160" t="s">
        <v>773</v>
      </c>
    </row>
    <row r="161" spans="2:37" x14ac:dyDescent="0.3">
      <c r="B161">
        <f t="shared" si="6"/>
        <v>4</v>
      </c>
      <c r="C161" t="s">
        <v>73</v>
      </c>
      <c r="D161" t="s">
        <v>149</v>
      </c>
      <c r="E161">
        <v>0</v>
      </c>
      <c r="F161" t="s">
        <v>774</v>
      </c>
      <c r="G161" t="s">
        <v>150</v>
      </c>
      <c r="I161">
        <v>2021</v>
      </c>
      <c r="J161">
        <v>1</v>
      </c>
      <c r="K161">
        <v>24700</v>
      </c>
      <c r="L161">
        <v>2430</v>
      </c>
      <c r="M161" t="s">
        <v>39</v>
      </c>
      <c r="N161" t="s">
        <v>619</v>
      </c>
      <c r="O161">
        <f t="shared" si="7"/>
        <v>7</v>
      </c>
      <c r="Q161" t="s">
        <v>743</v>
      </c>
      <c r="R161" t="s">
        <v>775</v>
      </c>
      <c r="U161">
        <v>3</v>
      </c>
      <c r="V161">
        <v>0</v>
      </c>
      <c r="W161" t="s">
        <v>155</v>
      </c>
      <c r="X161" t="s">
        <v>156</v>
      </c>
      <c r="Y161">
        <v>0</v>
      </c>
      <c r="Z161" t="s">
        <v>156</v>
      </c>
      <c r="AC161" t="str">
        <f t="shared" si="8"/>
        <v>RURAL</v>
      </c>
      <c r="AD161" t="s">
        <v>588</v>
      </c>
      <c r="AE161">
        <v>7773</v>
      </c>
      <c r="AG161">
        <v>22700</v>
      </c>
      <c r="AH161" t="s">
        <v>160</v>
      </c>
      <c r="AI161" t="s">
        <v>161</v>
      </c>
      <c r="AJ161">
        <v>2000</v>
      </c>
      <c r="AK161" t="s">
        <v>776</v>
      </c>
    </row>
    <row r="162" spans="2:37" x14ac:dyDescent="0.3">
      <c r="B162">
        <f t="shared" si="6"/>
        <v>3</v>
      </c>
      <c r="C162" t="s">
        <v>60</v>
      </c>
      <c r="D162" t="s">
        <v>89</v>
      </c>
      <c r="E162">
        <v>250</v>
      </c>
      <c r="F162">
        <v>101676</v>
      </c>
      <c r="G162" t="s">
        <v>90</v>
      </c>
      <c r="H162" t="s">
        <v>777</v>
      </c>
      <c r="I162">
        <v>2021</v>
      </c>
      <c r="J162">
        <v>12</v>
      </c>
      <c r="K162">
        <v>0</v>
      </c>
      <c r="L162">
        <v>0</v>
      </c>
      <c r="M162" t="s">
        <v>39</v>
      </c>
      <c r="N162" t="s">
        <v>40</v>
      </c>
      <c r="O162">
        <f t="shared" si="7"/>
        <v>1</v>
      </c>
      <c r="Q162" t="s">
        <v>386</v>
      </c>
      <c r="R162">
        <v>250</v>
      </c>
      <c r="S162" t="s">
        <v>43</v>
      </c>
      <c r="U162">
        <v>0</v>
      </c>
      <c r="V162">
        <v>0</v>
      </c>
      <c r="W162" t="s">
        <v>44</v>
      </c>
      <c r="X162" t="s">
        <v>237</v>
      </c>
      <c r="Y162">
        <v>0</v>
      </c>
      <c r="Z162" t="s">
        <v>45</v>
      </c>
      <c r="AB162" t="s">
        <v>778</v>
      </c>
      <c r="AC162" t="str">
        <f t="shared" si="8"/>
        <v>URBAN</v>
      </c>
      <c r="AD162" t="s">
        <v>723</v>
      </c>
      <c r="AE162">
        <v>6023</v>
      </c>
      <c r="AG162">
        <v>0</v>
      </c>
      <c r="AH162" t="s">
        <v>89</v>
      </c>
      <c r="AI162" t="s">
        <v>48</v>
      </c>
      <c r="AJ162">
        <v>1967</v>
      </c>
      <c r="AK162" t="s">
        <v>779</v>
      </c>
    </row>
    <row r="163" spans="2:37" x14ac:dyDescent="0.3">
      <c r="B163">
        <f t="shared" si="6"/>
        <v>10</v>
      </c>
      <c r="C163" t="s">
        <v>184</v>
      </c>
      <c r="D163" t="s">
        <v>89</v>
      </c>
      <c r="E163">
        <v>175</v>
      </c>
      <c r="G163" t="s">
        <v>90</v>
      </c>
      <c r="H163" t="s">
        <v>780</v>
      </c>
      <c r="I163">
        <v>2021</v>
      </c>
      <c r="J163">
        <v>10</v>
      </c>
      <c r="K163">
        <v>0</v>
      </c>
      <c r="L163">
        <v>0</v>
      </c>
      <c r="M163" t="s">
        <v>39</v>
      </c>
      <c r="N163" t="s">
        <v>40</v>
      </c>
      <c r="O163">
        <f t="shared" si="7"/>
        <v>1</v>
      </c>
      <c r="Q163" t="s">
        <v>303</v>
      </c>
      <c r="R163" t="s">
        <v>781</v>
      </c>
      <c r="S163" t="s">
        <v>43</v>
      </c>
      <c r="T163" t="s">
        <v>782</v>
      </c>
      <c r="U163">
        <v>0</v>
      </c>
      <c r="V163">
        <v>0</v>
      </c>
      <c r="W163" t="s">
        <v>44</v>
      </c>
      <c r="X163" t="s">
        <v>69</v>
      </c>
      <c r="Y163">
        <v>999</v>
      </c>
      <c r="Z163" t="s">
        <v>156</v>
      </c>
      <c r="AB163">
        <v>175</v>
      </c>
      <c r="AC163" t="str">
        <f t="shared" si="8"/>
        <v>URBAN</v>
      </c>
      <c r="AD163" t="s">
        <v>723</v>
      </c>
      <c r="AE163">
        <v>6021</v>
      </c>
      <c r="AG163">
        <v>0</v>
      </c>
      <c r="AH163" t="s">
        <v>89</v>
      </c>
      <c r="AI163" t="s">
        <v>48</v>
      </c>
      <c r="AJ163">
        <v>2001</v>
      </c>
      <c r="AK163" t="s">
        <v>783</v>
      </c>
    </row>
    <row r="164" spans="2:37" x14ac:dyDescent="0.3">
      <c r="B164">
        <f t="shared" si="6"/>
        <v>3</v>
      </c>
      <c r="C164" t="s">
        <v>60</v>
      </c>
      <c r="D164" t="s">
        <v>61</v>
      </c>
      <c r="E164">
        <v>4750</v>
      </c>
      <c r="F164" t="s">
        <v>784</v>
      </c>
      <c r="G164" t="s">
        <v>63</v>
      </c>
      <c r="H164" t="s">
        <v>785</v>
      </c>
      <c r="I164">
        <v>2021</v>
      </c>
      <c r="J164">
        <v>5</v>
      </c>
      <c r="K164">
        <v>8000</v>
      </c>
      <c r="L164">
        <v>2150</v>
      </c>
      <c r="M164" t="s">
        <v>39</v>
      </c>
      <c r="N164" t="s">
        <v>218</v>
      </c>
      <c r="O164">
        <f t="shared" si="7"/>
        <v>3</v>
      </c>
      <c r="P164" t="s">
        <v>786</v>
      </c>
      <c r="Q164" t="s">
        <v>66</v>
      </c>
      <c r="R164" t="s">
        <v>67</v>
      </c>
      <c r="S164" t="s">
        <v>68</v>
      </c>
      <c r="U164">
        <v>2</v>
      </c>
      <c r="V164">
        <v>3</v>
      </c>
      <c r="W164" t="s">
        <v>44</v>
      </c>
      <c r="X164" t="s">
        <v>69</v>
      </c>
      <c r="Y164">
        <v>0</v>
      </c>
      <c r="Z164" t="s">
        <v>69</v>
      </c>
      <c r="AB164">
        <v>450</v>
      </c>
      <c r="AC164" t="str">
        <f t="shared" si="8"/>
        <v>RURAL</v>
      </c>
      <c r="AD164" t="s">
        <v>209</v>
      </c>
      <c r="AE164">
        <v>4010</v>
      </c>
      <c r="AG164">
        <v>14200</v>
      </c>
      <c r="AH164" t="s">
        <v>71</v>
      </c>
      <c r="AI164" t="s">
        <v>161</v>
      </c>
      <c r="AJ164">
        <v>1997</v>
      </c>
      <c r="AK164" t="s">
        <v>787</v>
      </c>
    </row>
    <row r="165" spans="2:37" x14ac:dyDescent="0.3">
      <c r="B165">
        <f t="shared" si="6"/>
        <v>3</v>
      </c>
      <c r="C165" t="s">
        <v>60</v>
      </c>
      <c r="D165" t="s">
        <v>242</v>
      </c>
      <c r="E165">
        <v>2499</v>
      </c>
      <c r="G165" t="s">
        <v>117</v>
      </c>
      <c r="H165" t="s">
        <v>788</v>
      </c>
      <c r="I165">
        <v>2021</v>
      </c>
      <c r="J165">
        <v>6</v>
      </c>
      <c r="K165">
        <v>2565</v>
      </c>
      <c r="L165">
        <v>0</v>
      </c>
      <c r="M165" t="s">
        <v>39</v>
      </c>
      <c r="N165" t="s">
        <v>170</v>
      </c>
      <c r="O165">
        <f t="shared" si="7"/>
        <v>5</v>
      </c>
      <c r="Q165" t="s">
        <v>592</v>
      </c>
      <c r="R165" t="s">
        <v>789</v>
      </c>
      <c r="S165" t="s">
        <v>68</v>
      </c>
      <c r="T165" t="s">
        <v>790</v>
      </c>
      <c r="U165">
        <v>2</v>
      </c>
      <c r="V165">
        <v>5</v>
      </c>
      <c r="W165" t="s">
        <v>44</v>
      </c>
      <c r="X165" t="s">
        <v>69</v>
      </c>
      <c r="Y165">
        <v>64</v>
      </c>
      <c r="Z165" t="s">
        <v>156</v>
      </c>
      <c r="AB165" t="s">
        <v>791</v>
      </c>
      <c r="AC165" t="str">
        <f t="shared" si="8"/>
        <v>RURAL</v>
      </c>
      <c r="AD165" t="s">
        <v>792</v>
      </c>
      <c r="AE165">
        <v>4610</v>
      </c>
      <c r="AF165" t="s">
        <v>134</v>
      </c>
      <c r="AG165">
        <v>0</v>
      </c>
      <c r="AH165" t="s">
        <v>71</v>
      </c>
      <c r="AI165" t="s">
        <v>48</v>
      </c>
      <c r="AJ165">
        <v>1999</v>
      </c>
      <c r="AK165" t="s">
        <v>793</v>
      </c>
    </row>
    <row r="166" spans="2:37" x14ac:dyDescent="0.3">
      <c r="B166">
        <f t="shared" si="6"/>
        <v>2</v>
      </c>
      <c r="C166" t="s">
        <v>50</v>
      </c>
      <c r="D166" t="s">
        <v>51</v>
      </c>
      <c r="E166">
        <v>2982</v>
      </c>
      <c r="F166" t="s">
        <v>718</v>
      </c>
      <c r="G166" t="s">
        <v>52</v>
      </c>
      <c r="H166" t="s">
        <v>794</v>
      </c>
      <c r="I166">
        <v>2021</v>
      </c>
      <c r="J166">
        <v>11</v>
      </c>
      <c r="K166">
        <v>2085</v>
      </c>
      <c r="L166">
        <v>0</v>
      </c>
      <c r="M166" t="s">
        <v>39</v>
      </c>
      <c r="N166" t="s">
        <v>40</v>
      </c>
      <c r="O166">
        <f t="shared" si="7"/>
        <v>1</v>
      </c>
      <c r="Q166" t="s">
        <v>83</v>
      </c>
      <c r="R166" t="s">
        <v>721</v>
      </c>
      <c r="S166" t="s">
        <v>68</v>
      </c>
      <c r="U166">
        <v>2</v>
      </c>
      <c r="V166">
        <v>5</v>
      </c>
      <c r="W166" t="s">
        <v>44</v>
      </c>
      <c r="X166" t="s">
        <v>69</v>
      </c>
      <c r="Y166">
        <v>0</v>
      </c>
      <c r="Z166" t="s">
        <v>69</v>
      </c>
      <c r="AB166" t="s">
        <v>795</v>
      </c>
      <c r="AC166" t="str">
        <f t="shared" si="8"/>
        <v>RURAL</v>
      </c>
      <c r="AD166" t="s">
        <v>796</v>
      </c>
      <c r="AE166">
        <v>5512</v>
      </c>
      <c r="AG166">
        <v>0</v>
      </c>
      <c r="AH166" t="s">
        <v>47</v>
      </c>
      <c r="AI166" t="s">
        <v>48</v>
      </c>
      <c r="AJ166">
        <v>1996</v>
      </c>
      <c r="AK166" t="s">
        <v>797</v>
      </c>
    </row>
    <row r="167" spans="2:37" x14ac:dyDescent="0.3">
      <c r="B167">
        <f t="shared" si="6"/>
        <v>2</v>
      </c>
      <c r="C167" t="s">
        <v>50</v>
      </c>
      <c r="D167" t="s">
        <v>142</v>
      </c>
      <c r="E167">
        <v>2500</v>
      </c>
      <c r="F167" t="s">
        <v>798</v>
      </c>
      <c r="G167" t="s">
        <v>37</v>
      </c>
      <c r="H167" t="s">
        <v>799</v>
      </c>
      <c r="I167">
        <v>2021</v>
      </c>
      <c r="J167">
        <v>3</v>
      </c>
      <c r="K167">
        <v>0</v>
      </c>
      <c r="L167">
        <v>0</v>
      </c>
      <c r="M167" t="s">
        <v>39</v>
      </c>
      <c r="N167" t="s">
        <v>40</v>
      </c>
      <c r="O167">
        <f t="shared" si="7"/>
        <v>1</v>
      </c>
      <c r="Q167" t="s">
        <v>213</v>
      </c>
      <c r="R167" t="s">
        <v>375</v>
      </c>
      <c r="S167" t="s">
        <v>43</v>
      </c>
      <c r="U167">
        <v>2</v>
      </c>
      <c r="V167">
        <v>2</v>
      </c>
      <c r="W167" t="s">
        <v>44</v>
      </c>
      <c r="X167" t="s">
        <v>95</v>
      </c>
      <c r="Y167">
        <v>0</v>
      </c>
      <c r="Z167" t="s">
        <v>553</v>
      </c>
      <c r="AC167" t="str">
        <f t="shared" si="8"/>
        <v>URBAN</v>
      </c>
      <c r="AD167" t="s">
        <v>147</v>
      </c>
      <c r="AE167">
        <v>1071</v>
      </c>
      <c r="AG167">
        <v>0</v>
      </c>
      <c r="AH167" t="s">
        <v>47</v>
      </c>
      <c r="AI167" t="s">
        <v>48</v>
      </c>
      <c r="AJ167">
        <v>1973</v>
      </c>
      <c r="AK167" t="s">
        <v>800</v>
      </c>
    </row>
    <row r="168" spans="2:37" x14ac:dyDescent="0.3">
      <c r="B168">
        <f t="shared" si="6"/>
        <v>7</v>
      </c>
      <c r="C168" t="s">
        <v>115</v>
      </c>
      <c r="D168" t="s">
        <v>142</v>
      </c>
      <c r="E168">
        <v>5358</v>
      </c>
      <c r="F168" t="s">
        <v>801</v>
      </c>
      <c r="G168" t="s">
        <v>37</v>
      </c>
      <c r="H168" t="s">
        <v>802</v>
      </c>
      <c r="I168">
        <v>2021</v>
      </c>
      <c r="J168">
        <v>11</v>
      </c>
      <c r="K168">
        <v>0</v>
      </c>
      <c r="L168">
        <v>0</v>
      </c>
      <c r="M168" t="s">
        <v>39</v>
      </c>
      <c r="N168" t="s">
        <v>40</v>
      </c>
      <c r="O168">
        <f t="shared" si="7"/>
        <v>1</v>
      </c>
      <c r="Q168" t="s">
        <v>249</v>
      </c>
      <c r="R168" t="s">
        <v>463</v>
      </c>
      <c r="S168" t="s">
        <v>43</v>
      </c>
      <c r="U168">
        <v>2</v>
      </c>
      <c r="V168">
        <v>5</v>
      </c>
      <c r="W168" t="s">
        <v>44</v>
      </c>
      <c r="X168" t="s">
        <v>45</v>
      </c>
      <c r="Y168">
        <v>0</v>
      </c>
      <c r="Z168" t="s">
        <v>45</v>
      </c>
      <c r="AB168" t="s">
        <v>469</v>
      </c>
      <c r="AC168" t="str">
        <f t="shared" si="8"/>
        <v>RURAL</v>
      </c>
      <c r="AD168" t="s">
        <v>295</v>
      </c>
      <c r="AE168">
        <v>3110</v>
      </c>
      <c r="AG168">
        <v>0</v>
      </c>
      <c r="AH168" t="s">
        <v>47</v>
      </c>
      <c r="AI168" t="s">
        <v>48</v>
      </c>
      <c r="AJ168">
        <v>1964</v>
      </c>
      <c r="AK168" t="s">
        <v>685</v>
      </c>
    </row>
    <row r="169" spans="2:37" x14ac:dyDescent="0.3">
      <c r="B169">
        <f t="shared" si="6"/>
        <v>1</v>
      </c>
      <c r="C169" t="s">
        <v>34</v>
      </c>
      <c r="D169" t="s">
        <v>99</v>
      </c>
      <c r="E169">
        <v>7210</v>
      </c>
      <c r="F169" t="s">
        <v>803</v>
      </c>
      <c r="G169" t="s">
        <v>37</v>
      </c>
      <c r="H169" t="s">
        <v>38</v>
      </c>
      <c r="I169">
        <v>2021</v>
      </c>
      <c r="J169">
        <v>10</v>
      </c>
      <c r="K169">
        <v>0</v>
      </c>
      <c r="L169">
        <v>0</v>
      </c>
      <c r="M169" t="s">
        <v>39</v>
      </c>
      <c r="N169" t="s">
        <v>40</v>
      </c>
      <c r="O169">
        <f t="shared" si="7"/>
        <v>1</v>
      </c>
      <c r="Q169" t="s">
        <v>258</v>
      </c>
      <c r="R169" t="s">
        <v>575</v>
      </c>
      <c r="S169" t="s">
        <v>43</v>
      </c>
      <c r="U169">
        <v>0</v>
      </c>
      <c r="V169">
        <v>5</v>
      </c>
      <c r="W169" t="s">
        <v>44</v>
      </c>
      <c r="X169" t="s">
        <v>45</v>
      </c>
      <c r="Y169">
        <v>0</v>
      </c>
      <c r="Z169" t="s">
        <v>45</v>
      </c>
      <c r="AC169" t="str">
        <f t="shared" si="8"/>
        <v>RURAL</v>
      </c>
      <c r="AD169" t="s">
        <v>77</v>
      </c>
      <c r="AE169">
        <v>3193</v>
      </c>
      <c r="AG169">
        <v>0</v>
      </c>
      <c r="AH169" t="s">
        <v>47</v>
      </c>
      <c r="AI169" t="s">
        <v>48</v>
      </c>
      <c r="AJ169">
        <v>1972</v>
      </c>
      <c r="AK169" t="s">
        <v>804</v>
      </c>
    </row>
    <row r="170" spans="2:37" x14ac:dyDescent="0.3">
      <c r="B170">
        <f t="shared" si="6"/>
        <v>2</v>
      </c>
      <c r="C170" t="s">
        <v>50</v>
      </c>
      <c r="D170" t="s">
        <v>99</v>
      </c>
      <c r="E170">
        <v>5000</v>
      </c>
      <c r="F170" t="s">
        <v>805</v>
      </c>
      <c r="G170" t="s">
        <v>37</v>
      </c>
      <c r="H170" t="s">
        <v>806</v>
      </c>
      <c r="I170">
        <v>2021</v>
      </c>
      <c r="J170">
        <v>9</v>
      </c>
      <c r="K170">
        <v>0</v>
      </c>
      <c r="L170">
        <v>0</v>
      </c>
      <c r="M170" t="s">
        <v>39</v>
      </c>
      <c r="N170" t="s">
        <v>40</v>
      </c>
      <c r="O170">
        <f t="shared" si="7"/>
        <v>1</v>
      </c>
      <c r="Q170" t="s">
        <v>420</v>
      </c>
      <c r="R170" t="s">
        <v>807</v>
      </c>
      <c r="S170" t="s">
        <v>43</v>
      </c>
      <c r="U170">
        <v>0</v>
      </c>
      <c r="V170">
        <v>2</v>
      </c>
      <c r="W170" t="s">
        <v>44</v>
      </c>
      <c r="X170" t="s">
        <v>45</v>
      </c>
      <c r="Y170">
        <v>0</v>
      </c>
      <c r="Z170" t="s">
        <v>45</v>
      </c>
      <c r="AC170" t="str">
        <f t="shared" si="8"/>
        <v>RURAL</v>
      </c>
      <c r="AD170" t="s">
        <v>295</v>
      </c>
      <c r="AE170">
        <v>3</v>
      </c>
      <c r="AG170">
        <v>0</v>
      </c>
      <c r="AH170" t="s">
        <v>47</v>
      </c>
      <c r="AI170" t="s">
        <v>48</v>
      </c>
      <c r="AJ170">
        <v>1948</v>
      </c>
      <c r="AK170" t="s">
        <v>808</v>
      </c>
    </row>
    <row r="171" spans="2:37" x14ac:dyDescent="0.3">
      <c r="B171">
        <f t="shared" si="6"/>
        <v>1</v>
      </c>
      <c r="C171" t="s">
        <v>34</v>
      </c>
      <c r="D171" t="s">
        <v>89</v>
      </c>
      <c r="E171">
        <v>397</v>
      </c>
      <c r="F171" t="s">
        <v>595</v>
      </c>
      <c r="G171" t="s">
        <v>90</v>
      </c>
      <c r="H171" t="s">
        <v>809</v>
      </c>
      <c r="I171">
        <v>2021</v>
      </c>
      <c r="J171">
        <v>10</v>
      </c>
      <c r="K171">
        <v>0</v>
      </c>
      <c r="L171">
        <v>0</v>
      </c>
      <c r="M171" t="s">
        <v>39</v>
      </c>
      <c r="N171" t="s">
        <v>40</v>
      </c>
      <c r="O171">
        <f t="shared" si="7"/>
        <v>1</v>
      </c>
      <c r="Q171" t="s">
        <v>206</v>
      </c>
      <c r="R171" t="s">
        <v>207</v>
      </c>
      <c r="S171" t="s">
        <v>43</v>
      </c>
      <c r="U171">
        <v>2</v>
      </c>
      <c r="V171">
        <v>0</v>
      </c>
      <c r="W171" t="s">
        <v>44</v>
      </c>
      <c r="X171" t="s">
        <v>69</v>
      </c>
      <c r="Y171">
        <v>0</v>
      </c>
      <c r="Z171" t="s">
        <v>56</v>
      </c>
      <c r="AB171">
        <v>400</v>
      </c>
      <c r="AC171" t="str">
        <f t="shared" si="8"/>
        <v>URBAN</v>
      </c>
      <c r="AD171" t="s">
        <v>147</v>
      </c>
      <c r="AE171">
        <v>794</v>
      </c>
      <c r="AG171">
        <v>0</v>
      </c>
      <c r="AH171" t="s">
        <v>89</v>
      </c>
      <c r="AI171" t="s">
        <v>48</v>
      </c>
      <c r="AJ171">
        <v>2000</v>
      </c>
      <c r="AK171" t="s">
        <v>810</v>
      </c>
    </row>
    <row r="172" spans="2:37" x14ac:dyDescent="0.3">
      <c r="B172">
        <f t="shared" si="6"/>
        <v>1</v>
      </c>
      <c r="C172" t="s">
        <v>34</v>
      </c>
      <c r="D172" t="s">
        <v>89</v>
      </c>
      <c r="E172">
        <v>880</v>
      </c>
      <c r="G172" t="s">
        <v>90</v>
      </c>
      <c r="H172" t="s">
        <v>811</v>
      </c>
      <c r="I172">
        <v>2021</v>
      </c>
      <c r="J172">
        <v>7</v>
      </c>
      <c r="K172">
        <v>0</v>
      </c>
      <c r="L172">
        <v>0</v>
      </c>
      <c r="M172" t="s">
        <v>39</v>
      </c>
      <c r="N172" t="s">
        <v>40</v>
      </c>
      <c r="O172">
        <f t="shared" si="7"/>
        <v>1</v>
      </c>
      <c r="P172" t="s">
        <v>812</v>
      </c>
      <c r="Q172" t="s">
        <v>213</v>
      </c>
      <c r="R172" t="s">
        <v>492</v>
      </c>
      <c r="S172" t="s">
        <v>43</v>
      </c>
      <c r="U172">
        <v>0</v>
      </c>
      <c r="V172">
        <v>0</v>
      </c>
      <c r="W172" t="s">
        <v>44</v>
      </c>
      <c r="X172" t="s">
        <v>95</v>
      </c>
      <c r="Y172">
        <v>0</v>
      </c>
      <c r="Z172" t="s">
        <v>69</v>
      </c>
      <c r="AC172" t="str">
        <f t="shared" si="8"/>
        <v>RURAL</v>
      </c>
      <c r="AD172" t="s">
        <v>295</v>
      </c>
      <c r="AE172">
        <v>3110</v>
      </c>
      <c r="AG172">
        <v>0</v>
      </c>
      <c r="AH172" t="s">
        <v>89</v>
      </c>
      <c r="AI172" t="s">
        <v>48</v>
      </c>
      <c r="AJ172">
        <v>1998</v>
      </c>
      <c r="AK172" t="s">
        <v>813</v>
      </c>
    </row>
    <row r="173" spans="2:37" x14ac:dyDescent="0.3">
      <c r="B173">
        <f t="shared" si="6"/>
        <v>2</v>
      </c>
      <c r="C173" t="s">
        <v>50</v>
      </c>
      <c r="D173" t="s">
        <v>89</v>
      </c>
      <c r="E173">
        <v>200</v>
      </c>
      <c r="F173" t="s">
        <v>814</v>
      </c>
      <c r="G173" t="s">
        <v>90</v>
      </c>
      <c r="H173" t="s">
        <v>815</v>
      </c>
      <c r="I173">
        <v>2021</v>
      </c>
      <c r="J173">
        <v>6</v>
      </c>
      <c r="K173">
        <v>0</v>
      </c>
      <c r="L173">
        <v>0</v>
      </c>
      <c r="M173" t="s">
        <v>353</v>
      </c>
      <c r="N173" t="s">
        <v>40</v>
      </c>
      <c r="O173">
        <f t="shared" si="7"/>
        <v>1</v>
      </c>
      <c r="Q173" t="s">
        <v>518</v>
      </c>
      <c r="R173" t="s">
        <v>816</v>
      </c>
      <c r="S173" t="s">
        <v>43</v>
      </c>
      <c r="U173">
        <v>2</v>
      </c>
      <c r="V173">
        <v>0</v>
      </c>
      <c r="W173" t="s">
        <v>44</v>
      </c>
      <c r="X173" t="s">
        <v>69</v>
      </c>
      <c r="Y173">
        <v>0</v>
      </c>
      <c r="Z173" t="s">
        <v>56</v>
      </c>
      <c r="AB173" t="s">
        <v>817</v>
      </c>
      <c r="AC173" t="str">
        <f t="shared" si="8"/>
        <v>RURAL</v>
      </c>
      <c r="AD173" t="s">
        <v>120</v>
      </c>
      <c r="AE173">
        <v>5010</v>
      </c>
      <c r="AG173">
        <v>0</v>
      </c>
      <c r="AH173" t="s">
        <v>89</v>
      </c>
      <c r="AI173" t="s">
        <v>48</v>
      </c>
      <c r="AJ173">
        <v>1990</v>
      </c>
      <c r="AK173" t="s">
        <v>818</v>
      </c>
    </row>
    <row r="174" spans="2:37" x14ac:dyDescent="0.3">
      <c r="B174">
        <f t="shared" si="6"/>
        <v>7</v>
      </c>
      <c r="C174" t="s">
        <v>115</v>
      </c>
      <c r="D174" t="s">
        <v>89</v>
      </c>
      <c r="E174">
        <v>904</v>
      </c>
      <c r="G174" t="s">
        <v>90</v>
      </c>
      <c r="H174" t="s">
        <v>819</v>
      </c>
      <c r="I174">
        <v>2021</v>
      </c>
      <c r="J174">
        <v>12</v>
      </c>
      <c r="K174">
        <v>0</v>
      </c>
      <c r="L174">
        <v>0</v>
      </c>
      <c r="M174" t="s">
        <v>39</v>
      </c>
      <c r="N174" t="s">
        <v>40</v>
      </c>
      <c r="O174">
        <f t="shared" si="7"/>
        <v>1</v>
      </c>
      <c r="Q174" t="s">
        <v>386</v>
      </c>
      <c r="R174">
        <v>900</v>
      </c>
      <c r="S174" t="s">
        <v>43</v>
      </c>
      <c r="U174">
        <v>0</v>
      </c>
      <c r="V174">
        <v>0</v>
      </c>
      <c r="W174" t="s">
        <v>44</v>
      </c>
      <c r="X174" t="s">
        <v>237</v>
      </c>
      <c r="Y174">
        <v>0</v>
      </c>
      <c r="Z174" t="s">
        <v>45</v>
      </c>
      <c r="AB174" t="s">
        <v>387</v>
      </c>
      <c r="AC174" t="str">
        <f t="shared" si="8"/>
        <v>RURAL</v>
      </c>
      <c r="AD174" t="s">
        <v>133</v>
      </c>
      <c r="AE174">
        <v>9092</v>
      </c>
      <c r="AG174">
        <v>0</v>
      </c>
      <c r="AH174" t="s">
        <v>89</v>
      </c>
      <c r="AI174" t="s">
        <v>48</v>
      </c>
      <c r="AJ174">
        <v>1994</v>
      </c>
      <c r="AK174" t="s">
        <v>820</v>
      </c>
    </row>
    <row r="175" spans="2:37" x14ac:dyDescent="0.3">
      <c r="B175">
        <f t="shared" si="6"/>
        <v>8</v>
      </c>
      <c r="C175" t="s">
        <v>122</v>
      </c>
      <c r="D175" t="s">
        <v>89</v>
      </c>
      <c r="E175">
        <v>250</v>
      </c>
      <c r="F175" t="s">
        <v>399</v>
      </c>
      <c r="G175" t="s">
        <v>90</v>
      </c>
      <c r="H175" t="s">
        <v>821</v>
      </c>
      <c r="I175">
        <v>2021</v>
      </c>
      <c r="J175">
        <v>6</v>
      </c>
      <c r="K175">
        <v>0</v>
      </c>
      <c r="L175">
        <v>0</v>
      </c>
      <c r="M175" t="s">
        <v>39</v>
      </c>
      <c r="N175" t="s">
        <v>40</v>
      </c>
      <c r="O175">
        <f t="shared" si="7"/>
        <v>1</v>
      </c>
      <c r="Q175" t="s">
        <v>361</v>
      </c>
      <c r="R175" t="s">
        <v>403</v>
      </c>
      <c r="S175" t="s">
        <v>43</v>
      </c>
      <c r="U175">
        <v>2</v>
      </c>
      <c r="V175">
        <v>0</v>
      </c>
      <c r="W175" t="s">
        <v>44</v>
      </c>
      <c r="X175" t="s">
        <v>69</v>
      </c>
      <c r="Y175">
        <v>0</v>
      </c>
      <c r="Z175" t="s">
        <v>69</v>
      </c>
      <c r="AC175" t="str">
        <f t="shared" si="8"/>
        <v>RURAL</v>
      </c>
      <c r="AD175" t="s">
        <v>107</v>
      </c>
      <c r="AE175">
        <v>9810</v>
      </c>
      <c r="AG175">
        <v>0</v>
      </c>
      <c r="AH175" t="s">
        <v>89</v>
      </c>
      <c r="AI175" t="s">
        <v>48</v>
      </c>
      <c r="AJ175">
        <v>1991</v>
      </c>
      <c r="AK175" t="s">
        <v>822</v>
      </c>
    </row>
    <row r="176" spans="2:37" x14ac:dyDescent="0.3">
      <c r="B176">
        <f t="shared" si="6"/>
        <v>8</v>
      </c>
      <c r="C176" t="s">
        <v>122</v>
      </c>
      <c r="D176" t="s">
        <v>142</v>
      </c>
      <c r="E176">
        <v>6550</v>
      </c>
      <c r="F176" t="s">
        <v>823</v>
      </c>
      <c r="G176" t="s">
        <v>37</v>
      </c>
      <c r="H176" t="s">
        <v>824</v>
      </c>
      <c r="I176">
        <v>2021</v>
      </c>
      <c r="J176">
        <v>12</v>
      </c>
      <c r="K176">
        <v>1610</v>
      </c>
      <c r="L176">
        <v>0</v>
      </c>
      <c r="M176" t="s">
        <v>39</v>
      </c>
      <c r="N176" t="s">
        <v>40</v>
      </c>
      <c r="O176">
        <f t="shared" si="7"/>
        <v>1</v>
      </c>
      <c r="Q176" t="s">
        <v>249</v>
      </c>
      <c r="R176" t="s">
        <v>321</v>
      </c>
      <c r="S176" t="s">
        <v>43</v>
      </c>
      <c r="U176">
        <v>2</v>
      </c>
      <c r="V176">
        <v>5</v>
      </c>
      <c r="W176" t="s">
        <v>44</v>
      </c>
      <c r="X176" t="s">
        <v>45</v>
      </c>
      <c r="Y176">
        <v>0</v>
      </c>
      <c r="Z176" t="s">
        <v>45</v>
      </c>
      <c r="AC176" t="str">
        <f t="shared" si="8"/>
        <v>RURAL</v>
      </c>
      <c r="AD176" t="s">
        <v>126</v>
      </c>
      <c r="AE176">
        <v>3010</v>
      </c>
      <c r="AG176">
        <v>0</v>
      </c>
      <c r="AH176" t="s">
        <v>47</v>
      </c>
      <c r="AI176" t="s">
        <v>48</v>
      </c>
      <c r="AJ176">
        <v>1968</v>
      </c>
      <c r="AK176" t="s">
        <v>471</v>
      </c>
    </row>
    <row r="177" spans="2:37" x14ac:dyDescent="0.3">
      <c r="B177">
        <f t="shared" si="6"/>
        <v>1</v>
      </c>
      <c r="C177" t="s">
        <v>34</v>
      </c>
      <c r="D177" t="s">
        <v>61</v>
      </c>
      <c r="E177">
        <v>5651</v>
      </c>
      <c r="F177" t="s">
        <v>825</v>
      </c>
      <c r="G177" t="s">
        <v>117</v>
      </c>
      <c r="H177" t="s">
        <v>826</v>
      </c>
      <c r="I177">
        <v>2021</v>
      </c>
      <c r="J177">
        <v>9</v>
      </c>
      <c r="K177">
        <v>3175</v>
      </c>
      <c r="L177">
        <v>0</v>
      </c>
      <c r="M177" t="s">
        <v>39</v>
      </c>
      <c r="N177" t="s">
        <v>40</v>
      </c>
      <c r="O177">
        <f t="shared" si="7"/>
        <v>1</v>
      </c>
      <c r="P177" t="s">
        <v>827</v>
      </c>
      <c r="Q177" t="s">
        <v>828</v>
      </c>
      <c r="R177" t="s">
        <v>829</v>
      </c>
      <c r="S177" t="s">
        <v>43</v>
      </c>
      <c r="U177">
        <v>2</v>
      </c>
      <c r="V177">
        <v>3</v>
      </c>
      <c r="W177" t="s">
        <v>44</v>
      </c>
      <c r="X177" t="s">
        <v>45</v>
      </c>
      <c r="Y177">
        <v>0</v>
      </c>
      <c r="Z177" t="s">
        <v>45</v>
      </c>
      <c r="AB177" t="s">
        <v>830</v>
      </c>
      <c r="AC177" t="str">
        <f t="shared" si="8"/>
        <v>RURAL</v>
      </c>
      <c r="AD177" t="s">
        <v>831</v>
      </c>
      <c r="AE177">
        <v>4775</v>
      </c>
      <c r="AG177">
        <v>0</v>
      </c>
      <c r="AH177" t="s">
        <v>71</v>
      </c>
      <c r="AI177" t="s">
        <v>48</v>
      </c>
      <c r="AJ177">
        <v>1967</v>
      </c>
      <c r="AK177" t="s">
        <v>832</v>
      </c>
    </row>
    <row r="178" spans="2:37" x14ac:dyDescent="0.3">
      <c r="B178">
        <f t="shared" si="6"/>
        <v>4</v>
      </c>
      <c r="C178" t="s">
        <v>73</v>
      </c>
      <c r="D178" t="s">
        <v>99</v>
      </c>
      <c r="E178">
        <v>6998</v>
      </c>
      <c r="F178" t="s">
        <v>833</v>
      </c>
      <c r="G178" t="s">
        <v>37</v>
      </c>
      <c r="H178" t="s">
        <v>38</v>
      </c>
      <c r="I178">
        <v>2021</v>
      </c>
      <c r="J178">
        <v>4</v>
      </c>
      <c r="K178">
        <v>0</v>
      </c>
      <c r="L178">
        <v>0</v>
      </c>
      <c r="M178" t="s">
        <v>39</v>
      </c>
      <c r="N178" t="s">
        <v>40</v>
      </c>
      <c r="O178">
        <f t="shared" si="7"/>
        <v>1</v>
      </c>
      <c r="Q178" t="s">
        <v>102</v>
      </c>
      <c r="R178" t="s">
        <v>275</v>
      </c>
      <c r="S178" t="s">
        <v>43</v>
      </c>
      <c r="U178">
        <v>2</v>
      </c>
      <c r="V178">
        <v>2</v>
      </c>
      <c r="W178" t="s">
        <v>44</v>
      </c>
      <c r="X178" t="s">
        <v>45</v>
      </c>
      <c r="Y178">
        <v>0</v>
      </c>
      <c r="Z178" t="s">
        <v>45</v>
      </c>
      <c r="AC178" t="str">
        <f t="shared" si="8"/>
        <v>URBAN</v>
      </c>
      <c r="AD178" t="s">
        <v>147</v>
      </c>
      <c r="AE178">
        <v>2112</v>
      </c>
      <c r="AG178">
        <v>0</v>
      </c>
      <c r="AH178" t="s">
        <v>47</v>
      </c>
      <c r="AI178" t="s">
        <v>48</v>
      </c>
      <c r="AJ178">
        <v>1966</v>
      </c>
      <c r="AK178" t="s">
        <v>834</v>
      </c>
    </row>
    <row r="179" spans="2:37" x14ac:dyDescent="0.3">
      <c r="B179">
        <f t="shared" si="6"/>
        <v>10</v>
      </c>
      <c r="C179" t="s">
        <v>184</v>
      </c>
      <c r="D179" t="s">
        <v>142</v>
      </c>
      <c r="E179">
        <v>5000</v>
      </c>
      <c r="G179" t="s">
        <v>37</v>
      </c>
      <c r="H179">
        <v>170090</v>
      </c>
      <c r="I179">
        <v>2021</v>
      </c>
      <c r="J179">
        <v>10</v>
      </c>
      <c r="K179">
        <v>2060</v>
      </c>
      <c r="L179">
        <v>0</v>
      </c>
      <c r="M179" t="s">
        <v>39</v>
      </c>
      <c r="N179" t="s">
        <v>40</v>
      </c>
      <c r="O179">
        <f t="shared" si="7"/>
        <v>1</v>
      </c>
      <c r="Q179" t="s">
        <v>102</v>
      </c>
      <c r="R179" t="s">
        <v>111</v>
      </c>
      <c r="S179" t="s">
        <v>43</v>
      </c>
      <c r="U179">
        <v>0</v>
      </c>
      <c r="V179">
        <v>4</v>
      </c>
      <c r="W179" t="s">
        <v>44</v>
      </c>
      <c r="X179" t="s">
        <v>45</v>
      </c>
      <c r="Y179">
        <v>0</v>
      </c>
      <c r="Z179" t="s">
        <v>69</v>
      </c>
      <c r="AB179" t="s">
        <v>106</v>
      </c>
      <c r="AC179" t="str">
        <f t="shared" si="8"/>
        <v>URBAN</v>
      </c>
      <c r="AD179" t="s">
        <v>147</v>
      </c>
      <c r="AE179">
        <v>2683</v>
      </c>
      <c r="AG179">
        <v>0</v>
      </c>
      <c r="AH179" t="s">
        <v>47</v>
      </c>
      <c r="AI179" t="s">
        <v>48</v>
      </c>
      <c r="AJ179">
        <v>1995</v>
      </c>
      <c r="AK179" t="s">
        <v>835</v>
      </c>
    </row>
    <row r="180" spans="2:37" x14ac:dyDescent="0.3">
      <c r="B180">
        <f t="shared" si="6"/>
        <v>7</v>
      </c>
      <c r="C180" t="s">
        <v>115</v>
      </c>
      <c r="D180" t="s">
        <v>99</v>
      </c>
      <c r="E180">
        <v>1600</v>
      </c>
      <c r="F180" t="s">
        <v>836</v>
      </c>
      <c r="G180" t="s">
        <v>37</v>
      </c>
      <c r="H180" t="s">
        <v>38</v>
      </c>
      <c r="I180">
        <v>2021</v>
      </c>
      <c r="J180">
        <v>6</v>
      </c>
      <c r="K180">
        <v>0</v>
      </c>
      <c r="L180">
        <v>0</v>
      </c>
      <c r="M180" t="s">
        <v>39</v>
      </c>
      <c r="N180" t="s">
        <v>40</v>
      </c>
      <c r="O180">
        <f t="shared" si="7"/>
        <v>1</v>
      </c>
      <c r="Q180" t="s">
        <v>592</v>
      </c>
      <c r="R180">
        <v>808</v>
      </c>
      <c r="S180" t="s">
        <v>43</v>
      </c>
      <c r="U180">
        <v>2</v>
      </c>
      <c r="V180">
        <v>4</v>
      </c>
      <c r="W180" t="s">
        <v>44</v>
      </c>
      <c r="X180" t="s">
        <v>69</v>
      </c>
      <c r="Y180">
        <v>0</v>
      </c>
      <c r="Z180" t="s">
        <v>104</v>
      </c>
      <c r="AC180" t="str">
        <f t="shared" si="8"/>
        <v>URBAN</v>
      </c>
      <c r="AD180" t="s">
        <v>147</v>
      </c>
      <c r="AE180">
        <v>610</v>
      </c>
      <c r="AG180">
        <v>0</v>
      </c>
      <c r="AH180" t="s">
        <v>47</v>
      </c>
      <c r="AI180" t="s">
        <v>48</v>
      </c>
      <c r="AJ180">
        <v>1978</v>
      </c>
      <c r="AK180" t="s">
        <v>837</v>
      </c>
    </row>
    <row r="181" spans="2:37" x14ac:dyDescent="0.3">
      <c r="B181">
        <f t="shared" si="6"/>
        <v>1</v>
      </c>
      <c r="C181" t="s">
        <v>34</v>
      </c>
      <c r="D181" t="s">
        <v>242</v>
      </c>
      <c r="E181">
        <v>1600</v>
      </c>
      <c r="F181">
        <v>2650179</v>
      </c>
      <c r="G181" t="s">
        <v>117</v>
      </c>
      <c r="H181" t="s">
        <v>838</v>
      </c>
      <c r="I181">
        <v>2021</v>
      </c>
      <c r="J181">
        <v>8</v>
      </c>
      <c r="K181">
        <v>1560</v>
      </c>
      <c r="L181">
        <v>0</v>
      </c>
      <c r="M181" t="s">
        <v>39</v>
      </c>
      <c r="N181" t="s">
        <v>40</v>
      </c>
      <c r="O181">
        <f t="shared" si="7"/>
        <v>1</v>
      </c>
      <c r="Q181" t="s">
        <v>839</v>
      </c>
      <c r="R181" t="s">
        <v>840</v>
      </c>
      <c r="S181" t="s">
        <v>43</v>
      </c>
      <c r="U181">
        <v>2</v>
      </c>
      <c r="V181">
        <v>6</v>
      </c>
      <c r="W181" t="s">
        <v>44</v>
      </c>
      <c r="X181" t="s">
        <v>221</v>
      </c>
      <c r="Y181">
        <v>0</v>
      </c>
      <c r="Z181" t="s">
        <v>45</v>
      </c>
      <c r="AC181" t="str">
        <f t="shared" si="8"/>
        <v>URBAN</v>
      </c>
      <c r="AD181" t="s">
        <v>46</v>
      </c>
      <c r="AE181">
        <v>8014</v>
      </c>
      <c r="AG181">
        <v>0</v>
      </c>
      <c r="AH181" t="s">
        <v>71</v>
      </c>
      <c r="AI181" t="s">
        <v>48</v>
      </c>
      <c r="AJ181">
        <v>1965</v>
      </c>
      <c r="AK181" t="s">
        <v>841</v>
      </c>
    </row>
    <row r="182" spans="2:37" x14ac:dyDescent="0.3">
      <c r="B182">
        <f t="shared" si="6"/>
        <v>12</v>
      </c>
      <c r="C182" t="s">
        <v>261</v>
      </c>
      <c r="D182" t="s">
        <v>51</v>
      </c>
      <c r="E182">
        <v>2960</v>
      </c>
      <c r="F182" t="s">
        <v>842</v>
      </c>
      <c r="G182" t="s">
        <v>52</v>
      </c>
      <c r="H182" t="s">
        <v>843</v>
      </c>
      <c r="I182">
        <v>2021</v>
      </c>
      <c r="J182">
        <v>12</v>
      </c>
      <c r="K182">
        <v>0</v>
      </c>
      <c r="L182">
        <v>0</v>
      </c>
      <c r="M182" t="s">
        <v>39</v>
      </c>
      <c r="N182" t="s">
        <v>40</v>
      </c>
      <c r="O182">
        <f t="shared" si="7"/>
        <v>1</v>
      </c>
      <c r="P182" t="s">
        <v>844</v>
      </c>
      <c r="Q182" t="s">
        <v>557</v>
      </c>
      <c r="R182" t="s">
        <v>845</v>
      </c>
      <c r="S182" t="s">
        <v>43</v>
      </c>
      <c r="U182">
        <v>2</v>
      </c>
      <c r="V182">
        <v>5</v>
      </c>
      <c r="W182" t="s">
        <v>44</v>
      </c>
      <c r="X182" t="s">
        <v>69</v>
      </c>
      <c r="Y182">
        <v>0</v>
      </c>
      <c r="Z182" t="s">
        <v>69</v>
      </c>
      <c r="AC182" t="str">
        <f t="shared" si="8"/>
        <v>RURAL</v>
      </c>
      <c r="AD182" t="s">
        <v>268</v>
      </c>
      <c r="AE182">
        <v>4893</v>
      </c>
      <c r="AG182">
        <v>0</v>
      </c>
      <c r="AH182" t="s">
        <v>47</v>
      </c>
      <c r="AI182" t="s">
        <v>48</v>
      </c>
      <c r="AJ182">
        <v>1993</v>
      </c>
      <c r="AK182" t="s">
        <v>846</v>
      </c>
    </row>
    <row r="183" spans="2:37" x14ac:dyDescent="0.3">
      <c r="B183">
        <f t="shared" si="6"/>
        <v>2</v>
      </c>
      <c r="C183" t="s">
        <v>50</v>
      </c>
      <c r="D183" t="s">
        <v>242</v>
      </c>
      <c r="E183">
        <v>5000</v>
      </c>
      <c r="F183" t="s">
        <v>847</v>
      </c>
      <c r="G183" t="s">
        <v>117</v>
      </c>
      <c r="H183" t="s">
        <v>38</v>
      </c>
      <c r="I183">
        <v>2021</v>
      </c>
      <c r="J183">
        <v>10</v>
      </c>
      <c r="K183">
        <v>2800</v>
      </c>
      <c r="L183">
        <v>0</v>
      </c>
      <c r="M183" t="s">
        <v>39</v>
      </c>
      <c r="N183" t="s">
        <v>40</v>
      </c>
      <c r="O183">
        <f t="shared" si="7"/>
        <v>1</v>
      </c>
      <c r="Q183" t="s">
        <v>102</v>
      </c>
      <c r="R183" t="s">
        <v>245</v>
      </c>
      <c r="S183" t="s">
        <v>43</v>
      </c>
      <c r="U183">
        <v>2</v>
      </c>
      <c r="V183">
        <v>2</v>
      </c>
      <c r="W183" t="s">
        <v>44</v>
      </c>
      <c r="X183" t="s">
        <v>45</v>
      </c>
      <c r="Y183">
        <v>0</v>
      </c>
      <c r="Z183" t="s">
        <v>45</v>
      </c>
      <c r="AB183" t="s">
        <v>848</v>
      </c>
      <c r="AC183" t="str">
        <f t="shared" si="8"/>
        <v>RURAL</v>
      </c>
      <c r="AD183" t="s">
        <v>317</v>
      </c>
      <c r="AE183">
        <v>7201</v>
      </c>
      <c r="AG183">
        <v>0</v>
      </c>
      <c r="AH183" t="s">
        <v>71</v>
      </c>
      <c r="AI183" t="s">
        <v>48</v>
      </c>
      <c r="AJ183">
        <v>1961</v>
      </c>
      <c r="AK183" t="s">
        <v>849</v>
      </c>
    </row>
    <row r="184" spans="2:37" x14ac:dyDescent="0.3">
      <c r="B184">
        <f t="shared" si="6"/>
        <v>1</v>
      </c>
      <c r="C184" t="s">
        <v>34</v>
      </c>
      <c r="D184" t="s">
        <v>89</v>
      </c>
      <c r="E184">
        <v>125</v>
      </c>
      <c r="G184" t="s">
        <v>90</v>
      </c>
      <c r="H184" t="s">
        <v>850</v>
      </c>
      <c r="I184">
        <v>2021</v>
      </c>
      <c r="J184">
        <v>3</v>
      </c>
      <c r="K184">
        <v>0</v>
      </c>
      <c r="L184">
        <v>0</v>
      </c>
      <c r="M184" t="s">
        <v>129</v>
      </c>
      <c r="N184" t="s">
        <v>40</v>
      </c>
      <c r="O184">
        <f t="shared" si="7"/>
        <v>1</v>
      </c>
      <c r="Q184" t="s">
        <v>828</v>
      </c>
      <c r="R184" t="s">
        <v>92</v>
      </c>
      <c r="S184" t="s">
        <v>43</v>
      </c>
      <c r="T184" t="s">
        <v>851</v>
      </c>
      <c r="U184">
        <v>0</v>
      </c>
      <c r="V184">
        <v>0</v>
      </c>
      <c r="W184" t="s">
        <v>44</v>
      </c>
      <c r="X184" t="s">
        <v>94</v>
      </c>
      <c r="Y184">
        <v>6</v>
      </c>
      <c r="AB184" t="s">
        <v>93</v>
      </c>
      <c r="AC184" t="str">
        <f t="shared" si="8"/>
        <v>RURAL</v>
      </c>
      <c r="AD184" t="s">
        <v>181</v>
      </c>
      <c r="AE184">
        <v>7010</v>
      </c>
      <c r="AG184">
        <v>0</v>
      </c>
      <c r="AH184" t="s">
        <v>89</v>
      </c>
      <c r="AI184" t="s">
        <v>48</v>
      </c>
      <c r="AJ184">
        <v>2021</v>
      </c>
      <c r="AK184" t="s">
        <v>852</v>
      </c>
    </row>
    <row r="185" spans="2:37" x14ac:dyDescent="0.3">
      <c r="B185">
        <f t="shared" si="6"/>
        <v>1</v>
      </c>
      <c r="C185" t="s">
        <v>34</v>
      </c>
      <c r="D185" t="s">
        <v>242</v>
      </c>
      <c r="E185">
        <v>2694</v>
      </c>
      <c r="G185" t="s">
        <v>117</v>
      </c>
      <c r="H185" t="s">
        <v>853</v>
      </c>
      <c r="I185">
        <v>2021</v>
      </c>
      <c r="J185">
        <v>2</v>
      </c>
      <c r="K185">
        <v>2730</v>
      </c>
      <c r="L185">
        <v>0</v>
      </c>
      <c r="M185" t="s">
        <v>129</v>
      </c>
      <c r="N185" t="s">
        <v>40</v>
      </c>
      <c r="O185">
        <f t="shared" si="7"/>
        <v>1</v>
      </c>
      <c r="Q185" t="s">
        <v>83</v>
      </c>
      <c r="R185" t="s">
        <v>854</v>
      </c>
      <c r="S185" t="s">
        <v>43</v>
      </c>
      <c r="T185" t="s">
        <v>855</v>
      </c>
      <c r="U185">
        <v>2</v>
      </c>
      <c r="V185">
        <v>4</v>
      </c>
      <c r="W185" t="s">
        <v>44</v>
      </c>
      <c r="X185" t="s">
        <v>69</v>
      </c>
      <c r="Y185">
        <v>108</v>
      </c>
      <c r="AB185" t="s">
        <v>856</v>
      </c>
      <c r="AC185" t="str">
        <f t="shared" si="8"/>
        <v>RURAL</v>
      </c>
      <c r="AD185" t="s">
        <v>792</v>
      </c>
      <c r="AE185">
        <v>4610</v>
      </c>
      <c r="AF185" t="s">
        <v>134</v>
      </c>
      <c r="AG185">
        <v>0</v>
      </c>
      <c r="AH185" t="s">
        <v>71</v>
      </c>
      <c r="AI185" t="s">
        <v>48</v>
      </c>
      <c r="AJ185">
        <v>2021</v>
      </c>
      <c r="AK185" t="s">
        <v>857</v>
      </c>
    </row>
    <row r="186" spans="2:37" x14ac:dyDescent="0.3">
      <c r="B186">
        <f t="shared" si="6"/>
        <v>1</v>
      </c>
      <c r="C186" t="s">
        <v>34</v>
      </c>
      <c r="D186" t="s">
        <v>89</v>
      </c>
      <c r="E186">
        <v>1800</v>
      </c>
      <c r="G186" t="s">
        <v>90</v>
      </c>
      <c r="H186" t="s">
        <v>38</v>
      </c>
      <c r="I186">
        <v>2021</v>
      </c>
      <c r="J186">
        <v>12</v>
      </c>
      <c r="K186">
        <v>0</v>
      </c>
      <c r="L186">
        <v>0</v>
      </c>
      <c r="M186" t="s">
        <v>39</v>
      </c>
      <c r="N186" t="s">
        <v>40</v>
      </c>
      <c r="O186">
        <f t="shared" si="7"/>
        <v>1</v>
      </c>
      <c r="P186" t="s">
        <v>55</v>
      </c>
      <c r="Q186" t="s">
        <v>206</v>
      </c>
      <c r="R186" t="s">
        <v>858</v>
      </c>
      <c r="S186" t="s">
        <v>43</v>
      </c>
      <c r="U186">
        <v>0</v>
      </c>
      <c r="V186">
        <v>0</v>
      </c>
      <c r="W186" t="s">
        <v>44</v>
      </c>
      <c r="X186" t="s">
        <v>56</v>
      </c>
      <c r="Y186">
        <v>0</v>
      </c>
      <c r="Z186" t="s">
        <v>69</v>
      </c>
      <c r="AB186" t="s">
        <v>859</v>
      </c>
      <c r="AC186" t="str">
        <f t="shared" si="8"/>
        <v>RURAL</v>
      </c>
      <c r="AD186" t="s">
        <v>860</v>
      </c>
      <c r="AE186">
        <v>7873</v>
      </c>
      <c r="AG186">
        <v>0</v>
      </c>
      <c r="AH186" t="s">
        <v>89</v>
      </c>
      <c r="AI186" t="s">
        <v>48</v>
      </c>
      <c r="AJ186">
        <v>2006</v>
      </c>
      <c r="AK186" t="s">
        <v>861</v>
      </c>
    </row>
    <row r="187" spans="2:37" x14ac:dyDescent="0.3">
      <c r="B187">
        <f t="shared" si="6"/>
        <v>1</v>
      </c>
      <c r="C187" t="s">
        <v>34</v>
      </c>
      <c r="D187" t="s">
        <v>89</v>
      </c>
      <c r="E187">
        <v>399</v>
      </c>
      <c r="F187" t="s">
        <v>862</v>
      </c>
      <c r="G187" t="s">
        <v>90</v>
      </c>
      <c r="H187" t="s">
        <v>863</v>
      </c>
      <c r="I187">
        <v>2021</v>
      </c>
      <c r="J187">
        <v>1</v>
      </c>
      <c r="K187">
        <v>0</v>
      </c>
      <c r="L187">
        <v>0</v>
      </c>
      <c r="M187" t="s">
        <v>39</v>
      </c>
      <c r="N187" t="s">
        <v>40</v>
      </c>
      <c r="O187">
        <f t="shared" si="7"/>
        <v>1</v>
      </c>
      <c r="Q187" t="s">
        <v>864</v>
      </c>
      <c r="R187" t="s">
        <v>865</v>
      </c>
      <c r="S187" t="s">
        <v>43</v>
      </c>
      <c r="T187" t="s">
        <v>866</v>
      </c>
      <c r="U187">
        <v>2</v>
      </c>
      <c r="V187">
        <v>0</v>
      </c>
      <c r="W187" t="s">
        <v>44</v>
      </c>
      <c r="X187" t="s">
        <v>867</v>
      </c>
      <c r="Y187">
        <v>35</v>
      </c>
      <c r="Z187" t="s">
        <v>56</v>
      </c>
      <c r="AB187">
        <v>400</v>
      </c>
      <c r="AC187" t="str">
        <f t="shared" si="8"/>
        <v>URBAN</v>
      </c>
      <c r="AD187" t="s">
        <v>147</v>
      </c>
      <c r="AE187">
        <v>792</v>
      </c>
      <c r="AG187">
        <v>0</v>
      </c>
      <c r="AH187" t="s">
        <v>89</v>
      </c>
      <c r="AI187" t="s">
        <v>48</v>
      </c>
      <c r="AJ187">
        <v>2002</v>
      </c>
      <c r="AK187" t="s">
        <v>868</v>
      </c>
    </row>
    <row r="188" spans="2:37" x14ac:dyDescent="0.3">
      <c r="B188">
        <f t="shared" si="6"/>
        <v>10</v>
      </c>
      <c r="C188" t="s">
        <v>184</v>
      </c>
      <c r="D188" t="s">
        <v>51</v>
      </c>
      <c r="E188">
        <v>2980</v>
      </c>
      <c r="F188" t="s">
        <v>869</v>
      </c>
      <c r="G188" t="s">
        <v>52</v>
      </c>
      <c r="H188" t="s">
        <v>38</v>
      </c>
      <c r="I188">
        <v>2021</v>
      </c>
      <c r="J188">
        <v>8</v>
      </c>
      <c r="K188">
        <v>2185</v>
      </c>
      <c r="L188">
        <v>0</v>
      </c>
      <c r="M188" t="s">
        <v>39</v>
      </c>
      <c r="N188" t="s">
        <v>40</v>
      </c>
      <c r="O188">
        <f t="shared" si="7"/>
        <v>1</v>
      </c>
      <c r="P188" t="s">
        <v>870</v>
      </c>
      <c r="Q188" t="s">
        <v>83</v>
      </c>
      <c r="R188" t="s">
        <v>854</v>
      </c>
      <c r="S188" t="s">
        <v>68</v>
      </c>
      <c r="U188">
        <v>0</v>
      </c>
      <c r="V188">
        <v>5</v>
      </c>
      <c r="W188" t="s">
        <v>44</v>
      </c>
      <c r="X188" t="s">
        <v>69</v>
      </c>
      <c r="Y188">
        <v>0</v>
      </c>
      <c r="Z188" t="s">
        <v>69</v>
      </c>
      <c r="AB188" t="s">
        <v>871</v>
      </c>
      <c r="AC188" t="str">
        <f t="shared" si="8"/>
        <v>URBAN</v>
      </c>
      <c r="AD188" t="s">
        <v>147</v>
      </c>
      <c r="AE188">
        <v>604</v>
      </c>
      <c r="AG188">
        <v>0</v>
      </c>
      <c r="AH188" t="s">
        <v>47</v>
      </c>
      <c r="AI188" t="s">
        <v>48</v>
      </c>
      <c r="AJ188">
        <v>1994</v>
      </c>
      <c r="AK188" t="s">
        <v>872</v>
      </c>
    </row>
    <row r="189" spans="2:37" x14ac:dyDescent="0.3">
      <c r="B189">
        <f t="shared" si="6"/>
        <v>4</v>
      </c>
      <c r="C189" t="s">
        <v>73</v>
      </c>
      <c r="D189" t="s">
        <v>142</v>
      </c>
      <c r="E189">
        <v>5700</v>
      </c>
      <c r="G189" t="s">
        <v>37</v>
      </c>
      <c r="H189">
        <v>14010207</v>
      </c>
      <c r="I189">
        <v>2021</v>
      </c>
      <c r="J189">
        <v>6</v>
      </c>
      <c r="K189">
        <v>0</v>
      </c>
      <c r="L189">
        <v>0</v>
      </c>
      <c r="M189" t="s">
        <v>39</v>
      </c>
      <c r="N189" t="s">
        <v>40</v>
      </c>
      <c r="O189">
        <f t="shared" si="7"/>
        <v>1</v>
      </c>
      <c r="Q189" t="s">
        <v>249</v>
      </c>
      <c r="R189" t="s">
        <v>414</v>
      </c>
      <c r="S189" t="s">
        <v>43</v>
      </c>
      <c r="U189">
        <v>0</v>
      </c>
      <c r="V189">
        <v>2</v>
      </c>
      <c r="W189" t="s">
        <v>44</v>
      </c>
      <c r="X189" t="s">
        <v>45</v>
      </c>
      <c r="Y189">
        <v>0</v>
      </c>
      <c r="Z189" t="s">
        <v>56</v>
      </c>
      <c r="AB189" t="s">
        <v>873</v>
      </c>
      <c r="AC189" t="str">
        <f t="shared" si="8"/>
        <v>RURAL</v>
      </c>
      <c r="AD189" t="s">
        <v>281</v>
      </c>
      <c r="AE189">
        <v>7400</v>
      </c>
      <c r="AG189">
        <v>0</v>
      </c>
      <c r="AH189" t="s">
        <v>47</v>
      </c>
      <c r="AI189" t="s">
        <v>48</v>
      </c>
      <c r="AJ189">
        <v>1981</v>
      </c>
      <c r="AK189" t="s">
        <v>874</v>
      </c>
    </row>
    <row r="190" spans="2:37" x14ac:dyDescent="0.3">
      <c r="B190">
        <f t="shared" si="6"/>
        <v>3</v>
      </c>
      <c r="C190" t="s">
        <v>60</v>
      </c>
      <c r="D190" t="s">
        <v>89</v>
      </c>
      <c r="E190">
        <v>249</v>
      </c>
      <c r="F190" t="s">
        <v>875</v>
      </c>
      <c r="G190" t="s">
        <v>90</v>
      </c>
      <c r="H190" t="s">
        <v>876</v>
      </c>
      <c r="I190">
        <v>2021</v>
      </c>
      <c r="J190">
        <v>8</v>
      </c>
      <c r="K190">
        <v>0</v>
      </c>
      <c r="L190">
        <v>0</v>
      </c>
      <c r="M190" t="s">
        <v>39</v>
      </c>
      <c r="N190" t="s">
        <v>40</v>
      </c>
      <c r="O190">
        <f t="shared" si="7"/>
        <v>1</v>
      </c>
      <c r="P190" t="s">
        <v>877</v>
      </c>
      <c r="Q190" t="s">
        <v>303</v>
      </c>
      <c r="R190" t="s">
        <v>878</v>
      </c>
      <c r="S190" t="s">
        <v>43</v>
      </c>
      <c r="U190">
        <v>0</v>
      </c>
      <c r="V190">
        <v>0</v>
      </c>
      <c r="W190" t="s">
        <v>44</v>
      </c>
      <c r="X190" t="s">
        <v>69</v>
      </c>
      <c r="Y190">
        <v>0</v>
      </c>
      <c r="Z190" t="s">
        <v>69</v>
      </c>
      <c r="AC190" t="str">
        <f t="shared" si="8"/>
        <v>RURAL</v>
      </c>
      <c r="AD190" t="s">
        <v>317</v>
      </c>
      <c r="AE190">
        <v>7204</v>
      </c>
      <c r="AG190">
        <v>0</v>
      </c>
      <c r="AH190" t="s">
        <v>89</v>
      </c>
      <c r="AI190" t="s">
        <v>48</v>
      </c>
      <c r="AJ190">
        <v>1994</v>
      </c>
      <c r="AK190" t="s">
        <v>879</v>
      </c>
    </row>
    <row r="191" spans="2:37" x14ac:dyDescent="0.3">
      <c r="B191">
        <f t="shared" si="6"/>
        <v>7</v>
      </c>
      <c r="C191" t="s">
        <v>115</v>
      </c>
      <c r="D191" t="s">
        <v>89</v>
      </c>
      <c r="E191">
        <v>1064</v>
      </c>
      <c r="G191" t="s">
        <v>90</v>
      </c>
      <c r="H191">
        <v>25688</v>
      </c>
      <c r="I191">
        <v>2021</v>
      </c>
      <c r="J191">
        <v>11</v>
      </c>
      <c r="K191">
        <v>0</v>
      </c>
      <c r="L191">
        <v>0</v>
      </c>
      <c r="M191" t="s">
        <v>39</v>
      </c>
      <c r="N191" t="s">
        <v>40</v>
      </c>
      <c r="O191">
        <f t="shared" si="7"/>
        <v>1</v>
      </c>
      <c r="Q191" t="s">
        <v>880</v>
      </c>
      <c r="R191" t="s">
        <v>881</v>
      </c>
      <c r="S191" t="s">
        <v>43</v>
      </c>
      <c r="U191">
        <v>0</v>
      </c>
      <c r="V191">
        <v>0</v>
      </c>
      <c r="W191" t="s">
        <v>44</v>
      </c>
      <c r="X191" t="s">
        <v>45</v>
      </c>
      <c r="Y191">
        <v>0</v>
      </c>
      <c r="Z191" t="s">
        <v>45</v>
      </c>
      <c r="AC191" t="str">
        <f t="shared" si="8"/>
        <v>RURAL</v>
      </c>
      <c r="AD191" t="s">
        <v>133</v>
      </c>
      <c r="AE191">
        <v>9018</v>
      </c>
      <c r="AG191">
        <v>0</v>
      </c>
      <c r="AH191" t="s">
        <v>89</v>
      </c>
      <c r="AI191" t="s">
        <v>48</v>
      </c>
      <c r="AJ191">
        <v>2000</v>
      </c>
      <c r="AK191" t="s">
        <v>882</v>
      </c>
    </row>
    <row r="192" spans="2:37" x14ac:dyDescent="0.3">
      <c r="B192">
        <f t="shared" si="6"/>
        <v>10</v>
      </c>
      <c r="C192" t="s">
        <v>184</v>
      </c>
      <c r="D192" t="s">
        <v>89</v>
      </c>
      <c r="E192">
        <v>450</v>
      </c>
      <c r="G192" t="s">
        <v>90</v>
      </c>
      <c r="H192" t="s">
        <v>883</v>
      </c>
      <c r="I192">
        <v>2021</v>
      </c>
      <c r="J192">
        <v>6</v>
      </c>
      <c r="K192">
        <v>0</v>
      </c>
      <c r="L192">
        <v>0</v>
      </c>
      <c r="M192" t="s">
        <v>129</v>
      </c>
      <c r="N192" t="s">
        <v>40</v>
      </c>
      <c r="O192">
        <f t="shared" si="7"/>
        <v>1</v>
      </c>
      <c r="Q192" t="s">
        <v>303</v>
      </c>
      <c r="R192" t="s">
        <v>632</v>
      </c>
      <c r="S192" t="s">
        <v>43</v>
      </c>
      <c r="T192" t="s">
        <v>884</v>
      </c>
      <c r="U192">
        <v>0</v>
      </c>
      <c r="V192">
        <v>0</v>
      </c>
      <c r="W192" t="s">
        <v>44</v>
      </c>
      <c r="X192" t="s">
        <v>69</v>
      </c>
      <c r="Y192">
        <v>999</v>
      </c>
      <c r="AB192" t="s">
        <v>885</v>
      </c>
      <c r="AC192" t="str">
        <f t="shared" si="8"/>
        <v>RURAL</v>
      </c>
      <c r="AD192" t="s">
        <v>246</v>
      </c>
      <c r="AE192">
        <v>4312</v>
      </c>
      <c r="AG192">
        <v>0</v>
      </c>
      <c r="AH192" t="s">
        <v>89</v>
      </c>
      <c r="AI192" t="s">
        <v>48</v>
      </c>
      <c r="AJ192">
        <v>2021</v>
      </c>
      <c r="AK192" t="s">
        <v>886</v>
      </c>
    </row>
    <row r="193" spans="2:37" x14ac:dyDescent="0.3">
      <c r="B193">
        <f t="shared" si="6"/>
        <v>3</v>
      </c>
      <c r="C193" t="s">
        <v>60</v>
      </c>
      <c r="D193" t="s">
        <v>242</v>
      </c>
      <c r="E193">
        <v>2200</v>
      </c>
      <c r="F193" t="s">
        <v>887</v>
      </c>
      <c r="G193" t="s">
        <v>117</v>
      </c>
      <c r="H193" t="s">
        <v>618</v>
      </c>
      <c r="I193">
        <v>2021</v>
      </c>
      <c r="J193">
        <v>3</v>
      </c>
      <c r="K193">
        <v>2180</v>
      </c>
      <c r="L193">
        <v>0</v>
      </c>
      <c r="M193" t="s">
        <v>39</v>
      </c>
      <c r="N193" t="s">
        <v>619</v>
      </c>
      <c r="O193">
        <f t="shared" si="7"/>
        <v>7</v>
      </c>
      <c r="Q193" t="s">
        <v>557</v>
      </c>
      <c r="R193" t="s">
        <v>888</v>
      </c>
      <c r="S193" t="s">
        <v>68</v>
      </c>
      <c r="U193">
        <v>2</v>
      </c>
      <c r="V193">
        <v>3</v>
      </c>
      <c r="W193" t="s">
        <v>44</v>
      </c>
      <c r="X193" t="s">
        <v>69</v>
      </c>
      <c r="Y193">
        <v>0</v>
      </c>
      <c r="Z193" t="s">
        <v>56</v>
      </c>
      <c r="AC193" t="str">
        <f t="shared" si="8"/>
        <v>URBAN</v>
      </c>
      <c r="AD193" t="s">
        <v>46</v>
      </c>
      <c r="AE193">
        <v>8022</v>
      </c>
      <c r="AG193">
        <v>0</v>
      </c>
      <c r="AH193" t="s">
        <v>71</v>
      </c>
      <c r="AI193" t="s">
        <v>86</v>
      </c>
      <c r="AJ193">
        <v>1997</v>
      </c>
      <c r="AK193" t="s">
        <v>889</v>
      </c>
    </row>
    <row r="194" spans="2:37" x14ac:dyDescent="0.3">
      <c r="B194">
        <f t="shared" si="6"/>
        <v>1</v>
      </c>
      <c r="C194" t="s">
        <v>34</v>
      </c>
      <c r="D194" t="s">
        <v>89</v>
      </c>
      <c r="E194">
        <v>105</v>
      </c>
      <c r="G194" t="s">
        <v>90</v>
      </c>
      <c r="H194" t="s">
        <v>890</v>
      </c>
      <c r="I194">
        <v>2021</v>
      </c>
      <c r="J194">
        <v>1</v>
      </c>
      <c r="K194">
        <v>0</v>
      </c>
      <c r="L194">
        <v>0</v>
      </c>
      <c r="M194" t="s">
        <v>129</v>
      </c>
      <c r="N194" t="s">
        <v>40</v>
      </c>
      <c r="O194">
        <f t="shared" si="7"/>
        <v>1</v>
      </c>
      <c r="Q194" t="s">
        <v>206</v>
      </c>
      <c r="R194" t="s">
        <v>447</v>
      </c>
      <c r="S194" t="s">
        <v>43</v>
      </c>
      <c r="T194" t="s">
        <v>448</v>
      </c>
      <c r="U194">
        <v>0</v>
      </c>
      <c r="V194">
        <v>0</v>
      </c>
      <c r="W194" t="s">
        <v>44</v>
      </c>
      <c r="X194" t="s">
        <v>69</v>
      </c>
      <c r="Y194">
        <v>6</v>
      </c>
      <c r="AB194">
        <v>110</v>
      </c>
      <c r="AC194" t="str">
        <f t="shared" si="8"/>
        <v>URBAN</v>
      </c>
      <c r="AD194" t="s">
        <v>723</v>
      </c>
      <c r="AE194">
        <v>6021</v>
      </c>
      <c r="AG194">
        <v>0</v>
      </c>
      <c r="AH194" t="s">
        <v>89</v>
      </c>
      <c r="AI194" t="s">
        <v>48</v>
      </c>
      <c r="AJ194">
        <v>2021</v>
      </c>
      <c r="AK194" t="s">
        <v>891</v>
      </c>
    </row>
    <row r="195" spans="2:37" x14ac:dyDescent="0.3">
      <c r="B195">
        <f t="shared" ref="B195:B199" si="9">IF(C195="RED",1,IF(C195="Green",2,IF(C195="WHITE",3,IF(C195="YELLOW",4,IF(C195="PINK",5,IF(C195="ORANGE",6,IF(C195="BLACK",7,IF(C195="SILVER",8,IF(C195="Cream",9,IF(C195="BLUE",10,IF(C195="BROWN",11,IF(C195="GREY",12,IF(C195="PURPLE",13,IF(C195="GOLD",14,0))))))))))))))</f>
        <v>10</v>
      </c>
      <c r="C195" t="s">
        <v>184</v>
      </c>
      <c r="D195" t="s">
        <v>89</v>
      </c>
      <c r="E195">
        <v>293</v>
      </c>
      <c r="G195" t="s">
        <v>90</v>
      </c>
      <c r="H195" t="s">
        <v>38</v>
      </c>
      <c r="I195">
        <v>2021</v>
      </c>
      <c r="J195">
        <v>8</v>
      </c>
      <c r="K195">
        <v>0</v>
      </c>
      <c r="L195">
        <v>0</v>
      </c>
      <c r="M195" t="s">
        <v>39</v>
      </c>
      <c r="N195" t="s">
        <v>40</v>
      </c>
      <c r="O195">
        <f t="shared" ref="O195:O199" si="10">IF(N195="PRIVATE",1,IF(N195="WHOLESALE/RETAIL/TRADE",2,IF(N195="AGRICULTURE/FORESTRY/FISHING",3,IF(N195="COMMERCIAL ROAD TRANSPORT",4,IF(N195="BUSINESS/FINANCIAL",5,IF(N195="ELECTRICITY/GAS/WATER",6,IF(N195="CONSTRUCTING",7,0)))))))</f>
        <v>1</v>
      </c>
      <c r="Q195" t="s">
        <v>892</v>
      </c>
      <c r="R195" t="s">
        <v>893</v>
      </c>
      <c r="S195" t="s">
        <v>43</v>
      </c>
      <c r="T195" t="s">
        <v>894</v>
      </c>
      <c r="U195">
        <v>0</v>
      </c>
      <c r="V195">
        <v>0</v>
      </c>
      <c r="W195" t="s">
        <v>44</v>
      </c>
      <c r="X195" t="s">
        <v>229</v>
      </c>
      <c r="Y195">
        <v>40</v>
      </c>
      <c r="Z195" t="s">
        <v>56</v>
      </c>
      <c r="AB195">
        <v>300</v>
      </c>
      <c r="AC195" t="str">
        <f t="shared" ref="AC195:AC199" si="11">IF(OR(AD195="CHRISTCHURCH CITY",AD195="AUCKLAND",AD195="HAMILTON CITY",AD195="WELLINGTON CITY"),"URBAN", "RURAL")</f>
        <v>RURAL</v>
      </c>
      <c r="AD195" t="s">
        <v>831</v>
      </c>
      <c r="AE195">
        <v>4822</v>
      </c>
      <c r="AG195">
        <v>0</v>
      </c>
      <c r="AH195" t="s">
        <v>89</v>
      </c>
      <c r="AI195" t="s">
        <v>48</v>
      </c>
      <c r="AJ195">
        <v>2021</v>
      </c>
      <c r="AK195" t="s">
        <v>895</v>
      </c>
    </row>
    <row r="196" spans="2:37" x14ac:dyDescent="0.3">
      <c r="B196">
        <f t="shared" si="9"/>
        <v>14</v>
      </c>
      <c r="C196" t="s">
        <v>417</v>
      </c>
      <c r="D196" t="s">
        <v>242</v>
      </c>
      <c r="E196">
        <v>5732</v>
      </c>
      <c r="F196" t="s">
        <v>896</v>
      </c>
      <c r="G196" t="s">
        <v>117</v>
      </c>
      <c r="H196" t="s">
        <v>38</v>
      </c>
      <c r="I196">
        <v>2021</v>
      </c>
      <c r="J196">
        <v>4</v>
      </c>
      <c r="K196">
        <v>2500</v>
      </c>
      <c r="L196">
        <v>0</v>
      </c>
      <c r="M196" t="s">
        <v>39</v>
      </c>
      <c r="N196" t="s">
        <v>40</v>
      </c>
      <c r="O196">
        <f t="shared" si="10"/>
        <v>1</v>
      </c>
      <c r="Q196" t="s">
        <v>249</v>
      </c>
      <c r="R196" t="s">
        <v>897</v>
      </c>
      <c r="S196" t="s">
        <v>43</v>
      </c>
      <c r="U196">
        <v>2</v>
      </c>
      <c r="V196">
        <v>3</v>
      </c>
      <c r="W196" t="s">
        <v>44</v>
      </c>
      <c r="X196" t="s">
        <v>45</v>
      </c>
      <c r="Y196">
        <v>0</v>
      </c>
      <c r="Z196" t="s">
        <v>45</v>
      </c>
      <c r="AC196" t="str">
        <f t="shared" si="11"/>
        <v>URBAN</v>
      </c>
      <c r="AD196" t="s">
        <v>46</v>
      </c>
      <c r="AE196">
        <v>8011</v>
      </c>
      <c r="AG196">
        <v>0</v>
      </c>
      <c r="AH196" t="s">
        <v>71</v>
      </c>
      <c r="AI196" t="s">
        <v>48</v>
      </c>
      <c r="AJ196">
        <v>1968</v>
      </c>
      <c r="AK196" t="s">
        <v>898</v>
      </c>
    </row>
    <row r="197" spans="2:37" x14ac:dyDescent="0.3">
      <c r="B197">
        <f t="shared" si="9"/>
        <v>7</v>
      </c>
      <c r="C197" t="s">
        <v>115</v>
      </c>
      <c r="D197" t="s">
        <v>234</v>
      </c>
      <c r="E197">
        <v>4950</v>
      </c>
      <c r="F197" t="s">
        <v>702</v>
      </c>
      <c r="G197" t="s">
        <v>37</v>
      </c>
      <c r="H197" t="s">
        <v>38</v>
      </c>
      <c r="I197">
        <v>2021</v>
      </c>
      <c r="J197">
        <v>12</v>
      </c>
      <c r="K197">
        <v>1820</v>
      </c>
      <c r="L197">
        <v>0</v>
      </c>
      <c r="M197" t="s">
        <v>39</v>
      </c>
      <c r="N197" t="s">
        <v>40</v>
      </c>
      <c r="O197">
        <f t="shared" si="10"/>
        <v>1</v>
      </c>
      <c r="P197" t="s">
        <v>899</v>
      </c>
      <c r="Q197" t="s">
        <v>704</v>
      </c>
      <c r="R197">
        <v>928</v>
      </c>
      <c r="S197" t="s">
        <v>43</v>
      </c>
      <c r="U197">
        <v>2</v>
      </c>
      <c r="V197">
        <v>4</v>
      </c>
      <c r="W197" t="s">
        <v>44</v>
      </c>
      <c r="X197" t="s">
        <v>221</v>
      </c>
      <c r="Y197">
        <v>0</v>
      </c>
      <c r="Z197" t="s">
        <v>69</v>
      </c>
      <c r="AC197" t="str">
        <f t="shared" si="11"/>
        <v>URBAN</v>
      </c>
      <c r="AD197" t="s">
        <v>46</v>
      </c>
      <c r="AE197">
        <v>8011</v>
      </c>
      <c r="AG197">
        <v>0</v>
      </c>
      <c r="AH197" t="s">
        <v>47</v>
      </c>
      <c r="AI197" t="s">
        <v>48</v>
      </c>
      <c r="AJ197">
        <v>1990</v>
      </c>
      <c r="AK197" t="s">
        <v>900</v>
      </c>
    </row>
    <row r="198" spans="2:37" x14ac:dyDescent="0.3">
      <c r="B198">
        <f t="shared" si="9"/>
        <v>6</v>
      </c>
      <c r="C198" t="s">
        <v>109</v>
      </c>
      <c r="D198" t="s">
        <v>89</v>
      </c>
      <c r="E198">
        <v>525</v>
      </c>
      <c r="G198" t="s">
        <v>90</v>
      </c>
      <c r="H198">
        <v>659020013</v>
      </c>
      <c r="I198">
        <v>2021</v>
      </c>
      <c r="J198">
        <v>10</v>
      </c>
      <c r="K198">
        <v>0</v>
      </c>
      <c r="L198">
        <v>0</v>
      </c>
      <c r="M198" t="s">
        <v>39</v>
      </c>
      <c r="N198" t="s">
        <v>40</v>
      </c>
      <c r="O198">
        <f t="shared" si="10"/>
        <v>1</v>
      </c>
      <c r="Q198" t="s">
        <v>227</v>
      </c>
      <c r="R198">
        <v>525</v>
      </c>
      <c r="S198" t="s">
        <v>43</v>
      </c>
      <c r="U198">
        <v>0</v>
      </c>
      <c r="V198">
        <v>0</v>
      </c>
      <c r="W198" t="s">
        <v>44</v>
      </c>
      <c r="X198" t="s">
        <v>229</v>
      </c>
      <c r="Y198">
        <v>0</v>
      </c>
      <c r="Z198" t="s">
        <v>156</v>
      </c>
      <c r="AB198" t="s">
        <v>228</v>
      </c>
      <c r="AC198" t="str">
        <f t="shared" si="11"/>
        <v>RURAL</v>
      </c>
      <c r="AD198" t="s">
        <v>133</v>
      </c>
      <c r="AE198">
        <v>9076</v>
      </c>
      <c r="AG198">
        <v>0</v>
      </c>
      <c r="AH198" t="s">
        <v>89</v>
      </c>
      <c r="AI198" t="s">
        <v>48</v>
      </c>
      <c r="AJ198">
        <v>2006</v>
      </c>
      <c r="AK198" t="s">
        <v>901</v>
      </c>
    </row>
    <row r="199" spans="2:37" x14ac:dyDescent="0.3">
      <c r="B199">
        <f t="shared" si="9"/>
        <v>7</v>
      </c>
      <c r="C199" t="s">
        <v>115</v>
      </c>
      <c r="D199" t="s">
        <v>51</v>
      </c>
      <c r="E199">
        <v>2400</v>
      </c>
      <c r="G199" t="s">
        <v>37</v>
      </c>
      <c r="H199">
        <v>541621</v>
      </c>
      <c r="I199">
        <v>2021</v>
      </c>
      <c r="J199">
        <v>8</v>
      </c>
      <c r="K199">
        <v>1891</v>
      </c>
      <c r="L199">
        <v>0</v>
      </c>
      <c r="M199" t="s">
        <v>129</v>
      </c>
      <c r="N199" t="s">
        <v>40</v>
      </c>
      <c r="O199">
        <f t="shared" si="10"/>
        <v>1</v>
      </c>
      <c r="Q199" t="s">
        <v>420</v>
      </c>
      <c r="R199" t="s">
        <v>902</v>
      </c>
      <c r="S199" t="s">
        <v>43</v>
      </c>
      <c r="T199" t="s">
        <v>903</v>
      </c>
      <c r="U199">
        <v>2</v>
      </c>
      <c r="V199">
        <v>5</v>
      </c>
      <c r="W199" t="s">
        <v>44</v>
      </c>
      <c r="X199" t="s">
        <v>56</v>
      </c>
      <c r="Y199">
        <v>112</v>
      </c>
      <c r="AB199" t="s">
        <v>904</v>
      </c>
      <c r="AC199" t="str">
        <f t="shared" si="11"/>
        <v>RURAL</v>
      </c>
      <c r="AD199" t="s">
        <v>905</v>
      </c>
      <c r="AE199">
        <v>7825</v>
      </c>
      <c r="AF199" t="s">
        <v>906</v>
      </c>
      <c r="AG199">
        <v>0</v>
      </c>
      <c r="AH199" t="s">
        <v>47</v>
      </c>
      <c r="AI199" t="s">
        <v>48</v>
      </c>
      <c r="AJ199">
        <v>2021</v>
      </c>
      <c r="AK199" t="s">
        <v>907</v>
      </c>
    </row>
  </sheetData>
  <autoFilter ref="A1:AP199" xr:uid="{0D332016-508D-46F5-9C03-6736F2292D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1B73-A6FA-458C-B011-4053DA96DDDD}">
  <dimension ref="A1:B15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</v>
      </c>
    </row>
    <row r="2" spans="1:2" x14ac:dyDescent="0.3">
      <c r="A2" t="s">
        <v>34</v>
      </c>
      <c r="B2">
        <f>IF(A2="RED",1,IF(A2="Green",2,IF(A2="WHITE",3,IF(A2="YELLOW",4,IF(A2="PINK",5,IF(A2="ORANGE",6,IF(A2="BLACK",7,IF(A2="SILVER",8,IF(A2="Cream",9,IF(A2="BLUE",10,IF(A2="BROWN",11,IF(A2="GREY",12,IF(A2="PURPLE",13,IF(A2="GOLD",14,0))))))))))))))</f>
        <v>1</v>
      </c>
    </row>
    <row r="3" spans="1:2" x14ac:dyDescent="0.3">
      <c r="A3" t="s">
        <v>50</v>
      </c>
      <c r="B3">
        <f t="shared" ref="B3:B15" si="0">IF(A3="RED",1,IF(A3="Green",2,IF(A3="WHITE",3,IF(A3="YELLOW",4,IF(A3="PINK",5,IF(A3="ORANGE",6,IF(A3="BLACK",7,IF(A3="SILVER",8,IF(A3="Cream",9,IF(A3="BLUE",10,IF(A3="BROWN",11,IF(A3="GREY",12,IF(A3="PURPLE",13,IF(A3="GOLD",14,0))))))))))))))</f>
        <v>2</v>
      </c>
    </row>
    <row r="4" spans="1:2" x14ac:dyDescent="0.3">
      <c r="A4" t="s">
        <v>60</v>
      </c>
      <c r="B4">
        <f t="shared" si="0"/>
        <v>3</v>
      </c>
    </row>
    <row r="5" spans="1:2" x14ac:dyDescent="0.3">
      <c r="A5" t="s">
        <v>73</v>
      </c>
      <c r="B5">
        <f t="shared" si="0"/>
        <v>4</v>
      </c>
    </row>
    <row r="6" spans="1:2" x14ac:dyDescent="0.3">
      <c r="A6" t="s">
        <v>88</v>
      </c>
      <c r="B6">
        <f t="shared" si="0"/>
        <v>5</v>
      </c>
    </row>
    <row r="7" spans="1:2" x14ac:dyDescent="0.3">
      <c r="A7" t="s">
        <v>109</v>
      </c>
      <c r="B7">
        <f t="shared" si="0"/>
        <v>6</v>
      </c>
    </row>
    <row r="8" spans="1:2" x14ac:dyDescent="0.3">
      <c r="A8" t="s">
        <v>115</v>
      </c>
      <c r="B8">
        <f t="shared" si="0"/>
        <v>7</v>
      </c>
    </row>
    <row r="9" spans="1:2" x14ac:dyDescent="0.3">
      <c r="A9" t="s">
        <v>122</v>
      </c>
      <c r="B9">
        <f t="shared" si="0"/>
        <v>8</v>
      </c>
    </row>
    <row r="10" spans="1:2" x14ac:dyDescent="0.3">
      <c r="A10" t="s">
        <v>141</v>
      </c>
      <c r="B10">
        <f t="shared" si="0"/>
        <v>9</v>
      </c>
    </row>
    <row r="11" spans="1:2" x14ac:dyDescent="0.3">
      <c r="A11" t="s">
        <v>184</v>
      </c>
      <c r="B11">
        <f t="shared" si="0"/>
        <v>10</v>
      </c>
    </row>
    <row r="12" spans="1:2" x14ac:dyDescent="0.3">
      <c r="A12" t="s">
        <v>241</v>
      </c>
      <c r="B12">
        <f t="shared" si="0"/>
        <v>11</v>
      </c>
    </row>
    <row r="13" spans="1:2" x14ac:dyDescent="0.3">
      <c r="A13" t="s">
        <v>261</v>
      </c>
      <c r="B13">
        <f t="shared" si="0"/>
        <v>12</v>
      </c>
    </row>
    <row r="14" spans="1:2" x14ac:dyDescent="0.3">
      <c r="A14" t="s">
        <v>308</v>
      </c>
      <c r="B14">
        <f t="shared" si="0"/>
        <v>13</v>
      </c>
    </row>
    <row r="15" spans="1:2" x14ac:dyDescent="0.3">
      <c r="A15" t="s">
        <v>417</v>
      </c>
      <c r="B15">
        <f t="shared" si="0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2398-C48A-4156-A8CF-B74244D01712}">
  <dimension ref="A1:D23"/>
  <sheetViews>
    <sheetView workbookViewId="0">
      <selection sqref="A1:D23"/>
    </sheetView>
  </sheetViews>
  <sheetFormatPr defaultRowHeight="14.4" x14ac:dyDescent="0.3"/>
  <cols>
    <col min="2" max="2" width="29.77734375" bestFit="1" customWidth="1"/>
    <col min="3" max="3" width="24" bestFit="1" customWidth="1"/>
    <col min="4" max="4" width="26.33203125" bestFit="1" customWidth="1"/>
  </cols>
  <sheetData>
    <row r="1" spans="1:4" x14ac:dyDescent="0.3">
      <c r="A1" t="s">
        <v>910</v>
      </c>
      <c r="B1" t="s">
        <v>12</v>
      </c>
      <c r="C1" t="s">
        <v>30</v>
      </c>
      <c r="D1" t="s">
        <v>31</v>
      </c>
    </row>
    <row r="2" spans="1:4" x14ac:dyDescent="0.3">
      <c r="A2">
        <f t="shared" ref="A2:A23" si="0">IF(C2="PASSENGER CAR/VAN",1,IF(C2="GOODS VAN/TRUCK/UTILITY",2,IF(C2="MOTORCYCLE",3,IF(C2="TRAILER/CARAVAN",4,IF(C2="MOTOR CARAVAN",5,IF(C2="MOPED",6,0))))))</f>
        <v>1</v>
      </c>
      <c r="B2" t="s">
        <v>40</v>
      </c>
      <c r="C2" t="s">
        <v>47</v>
      </c>
      <c r="D2" t="s">
        <v>48</v>
      </c>
    </row>
    <row r="3" spans="1:4" x14ac:dyDescent="0.3">
      <c r="A3">
        <f t="shared" si="0"/>
        <v>2</v>
      </c>
      <c r="B3" t="s">
        <v>40</v>
      </c>
      <c r="C3" t="s">
        <v>71</v>
      </c>
      <c r="D3" t="s">
        <v>48</v>
      </c>
    </row>
    <row r="4" spans="1:4" x14ac:dyDescent="0.3">
      <c r="A4">
        <f t="shared" si="0"/>
        <v>2</v>
      </c>
      <c r="B4" t="s">
        <v>81</v>
      </c>
      <c r="C4" t="s">
        <v>71</v>
      </c>
      <c r="D4" t="s">
        <v>86</v>
      </c>
    </row>
    <row r="5" spans="1:4" x14ac:dyDescent="0.3">
      <c r="A5">
        <f t="shared" si="0"/>
        <v>3</v>
      </c>
      <c r="B5" t="s">
        <v>40</v>
      </c>
      <c r="C5" t="s">
        <v>89</v>
      </c>
      <c r="D5" t="s">
        <v>48</v>
      </c>
    </row>
    <row r="6" spans="1:4" x14ac:dyDescent="0.3">
      <c r="A6">
        <f t="shared" si="0"/>
        <v>4</v>
      </c>
      <c r="B6" t="s">
        <v>151</v>
      </c>
      <c r="C6" t="s">
        <v>160</v>
      </c>
      <c r="D6" t="s">
        <v>161</v>
      </c>
    </row>
    <row r="7" spans="1:4" x14ac:dyDescent="0.3">
      <c r="A7">
        <f t="shared" si="0"/>
        <v>4</v>
      </c>
      <c r="B7" t="s">
        <v>151</v>
      </c>
      <c r="C7" t="s">
        <v>160</v>
      </c>
      <c r="D7" t="s">
        <v>86</v>
      </c>
    </row>
    <row r="8" spans="1:4" x14ac:dyDescent="0.3">
      <c r="A8">
        <f t="shared" si="0"/>
        <v>2</v>
      </c>
      <c r="B8" t="s">
        <v>170</v>
      </c>
      <c r="C8" t="s">
        <v>71</v>
      </c>
      <c r="D8" t="s">
        <v>161</v>
      </c>
    </row>
    <row r="9" spans="1:4" x14ac:dyDescent="0.3">
      <c r="A9">
        <f t="shared" si="0"/>
        <v>5</v>
      </c>
      <c r="B9" t="s">
        <v>40</v>
      </c>
      <c r="C9" t="s">
        <v>182</v>
      </c>
      <c r="D9" t="s">
        <v>48</v>
      </c>
    </row>
    <row r="10" spans="1:4" x14ac:dyDescent="0.3">
      <c r="A10">
        <f t="shared" si="0"/>
        <v>2</v>
      </c>
      <c r="B10" t="s">
        <v>218</v>
      </c>
      <c r="C10" t="s">
        <v>71</v>
      </c>
      <c r="D10" t="s">
        <v>86</v>
      </c>
    </row>
    <row r="11" spans="1:4" x14ac:dyDescent="0.3">
      <c r="A11">
        <f t="shared" si="0"/>
        <v>4</v>
      </c>
      <c r="B11" t="s">
        <v>218</v>
      </c>
      <c r="C11" t="s">
        <v>160</v>
      </c>
      <c r="D11" t="s">
        <v>161</v>
      </c>
    </row>
    <row r="12" spans="1:4" x14ac:dyDescent="0.3">
      <c r="A12">
        <f t="shared" si="0"/>
        <v>2</v>
      </c>
      <c r="B12" t="s">
        <v>348</v>
      </c>
      <c r="C12" t="s">
        <v>71</v>
      </c>
      <c r="D12" t="s">
        <v>161</v>
      </c>
    </row>
    <row r="13" spans="1:4" x14ac:dyDescent="0.3">
      <c r="A13">
        <f t="shared" si="0"/>
        <v>6</v>
      </c>
      <c r="B13" t="s">
        <v>40</v>
      </c>
      <c r="C13" t="s">
        <v>411</v>
      </c>
      <c r="D13" t="s">
        <v>48</v>
      </c>
    </row>
    <row r="14" spans="1:4" x14ac:dyDescent="0.3">
      <c r="A14">
        <f t="shared" si="0"/>
        <v>2</v>
      </c>
      <c r="B14" t="s">
        <v>151</v>
      </c>
      <c r="C14" t="s">
        <v>71</v>
      </c>
      <c r="D14" t="s">
        <v>161</v>
      </c>
    </row>
    <row r="15" spans="1:4" x14ac:dyDescent="0.3">
      <c r="A15">
        <f t="shared" si="0"/>
        <v>2</v>
      </c>
      <c r="B15" t="s">
        <v>40</v>
      </c>
      <c r="C15" t="s">
        <v>71</v>
      </c>
      <c r="D15" t="s">
        <v>86</v>
      </c>
    </row>
    <row r="16" spans="1:4" x14ac:dyDescent="0.3">
      <c r="A16">
        <f t="shared" si="0"/>
        <v>2</v>
      </c>
      <c r="B16" t="s">
        <v>619</v>
      </c>
      <c r="C16" t="s">
        <v>71</v>
      </c>
      <c r="D16" t="s">
        <v>86</v>
      </c>
    </row>
    <row r="17" spans="1:4" x14ac:dyDescent="0.3">
      <c r="A17">
        <f t="shared" si="0"/>
        <v>2</v>
      </c>
      <c r="B17" t="s">
        <v>40</v>
      </c>
      <c r="C17" t="s">
        <v>71</v>
      </c>
      <c r="D17" t="s">
        <v>161</v>
      </c>
    </row>
    <row r="18" spans="1:4" x14ac:dyDescent="0.3">
      <c r="A18">
        <f t="shared" si="0"/>
        <v>4</v>
      </c>
      <c r="B18" t="s">
        <v>218</v>
      </c>
      <c r="C18" t="s">
        <v>160</v>
      </c>
      <c r="D18" t="s">
        <v>86</v>
      </c>
    </row>
    <row r="19" spans="1:4" x14ac:dyDescent="0.3">
      <c r="A19">
        <f t="shared" si="0"/>
        <v>2</v>
      </c>
      <c r="B19" t="s">
        <v>151</v>
      </c>
      <c r="C19" t="s">
        <v>71</v>
      </c>
      <c r="D19" t="s">
        <v>86</v>
      </c>
    </row>
    <row r="20" spans="1:4" x14ac:dyDescent="0.3">
      <c r="A20">
        <f t="shared" si="0"/>
        <v>2</v>
      </c>
      <c r="B20" t="s">
        <v>40</v>
      </c>
      <c r="C20" t="s">
        <v>71</v>
      </c>
      <c r="D20" t="s">
        <v>174</v>
      </c>
    </row>
    <row r="21" spans="1:4" x14ac:dyDescent="0.3">
      <c r="A21">
        <f t="shared" si="0"/>
        <v>4</v>
      </c>
      <c r="B21" t="s">
        <v>619</v>
      </c>
      <c r="C21" t="s">
        <v>160</v>
      </c>
      <c r="D21" t="s">
        <v>161</v>
      </c>
    </row>
    <row r="22" spans="1:4" x14ac:dyDescent="0.3">
      <c r="A22">
        <f t="shared" si="0"/>
        <v>2</v>
      </c>
      <c r="B22" t="s">
        <v>218</v>
      </c>
      <c r="C22" t="s">
        <v>71</v>
      </c>
      <c r="D22" t="s">
        <v>161</v>
      </c>
    </row>
    <row r="23" spans="1:4" x14ac:dyDescent="0.3">
      <c r="A23">
        <f t="shared" si="0"/>
        <v>2</v>
      </c>
      <c r="B23" t="s">
        <v>170</v>
      </c>
      <c r="C23" t="s">
        <v>71</v>
      </c>
      <c r="D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Sukumar</dc:creator>
  <cp:lastModifiedBy>Vignesh Sukumar</cp:lastModifiedBy>
  <dcterms:created xsi:type="dcterms:W3CDTF">2025-08-28T20:42:01Z</dcterms:created>
  <dcterms:modified xsi:type="dcterms:W3CDTF">2025-08-31T10:30:35Z</dcterms:modified>
</cp:coreProperties>
</file>